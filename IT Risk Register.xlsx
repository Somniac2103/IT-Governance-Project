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mo\Desktop\Tech\03 Projects\Enterprise Network Lab\03 Governance\"/>
    </mc:Choice>
  </mc:AlternateContent>
  <xr:revisionPtr revIDLastSave="0" documentId="13_ncr:1_{97C26F84-9A17-4649-9297-6F5AEB7CCE99}" xr6:coauthVersionLast="47" xr6:coauthVersionMax="47" xr10:uidLastSave="{00000000-0000-0000-0000-000000000000}"/>
  <bookViews>
    <workbookView xWindow="14295" yWindow="0" windowWidth="14610" windowHeight="15585" xr2:uid="{EE207035-1F51-4DCC-B353-2E8B956805B3}"/>
  </bookViews>
  <sheets>
    <sheet name="Operational Risk Register" sheetId="1" r:id="rId1"/>
    <sheet name="Data Control Sheet" sheetId="2" r:id="rId2"/>
  </sheets>
  <definedNames>
    <definedName name="_xlnm.Print_Area" localSheetId="0">'Operational Risk Register'!$A$1:$W$14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3" i="1"/>
  <c r="K12" i="1"/>
  <c r="K13" i="1"/>
  <c r="K9" i="1"/>
  <c r="K10" i="1"/>
  <c r="K4" i="1"/>
  <c r="K7" i="1"/>
  <c r="K5" i="1"/>
  <c r="K11" i="1"/>
  <c r="K14" i="1"/>
  <c r="K6" i="1"/>
  <c r="H8" i="1"/>
  <c r="H3" i="1"/>
  <c r="H12" i="1"/>
  <c r="H13" i="1"/>
  <c r="H9" i="1"/>
  <c r="H10" i="1"/>
  <c r="H4" i="1"/>
  <c r="H7" i="1"/>
  <c r="H5" i="1"/>
  <c r="H11" i="1"/>
  <c r="H14" i="1"/>
  <c r="H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Barry Salmon</author>
  </authors>
  <commentList>
    <comment ref="A1" authorId="0" shapeId="0" xr:uid="{1EE4FF2D-E37E-4AAB-B920-6E73EBDE3E08}">
      <text>
        <r>
          <rPr>
            <sz val="11"/>
            <color indexed="81"/>
            <rFont val="Tahoma"/>
            <family val="2"/>
          </rPr>
          <t>Risk ID is a unique identifier for each risk to enable clarity and tracebility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82E7F419-D901-4029-B14A-AC811A105A2A}">
      <text>
        <r>
          <rPr>
            <sz val="11"/>
            <color indexed="81"/>
            <rFont val="Tahoma"/>
            <family val="2"/>
          </rPr>
          <t xml:space="preserve">Risk title is a easy to use name for commo usage
</t>
        </r>
      </text>
    </comment>
    <comment ref="C1" authorId="0" shapeId="0" xr:uid="{894B8C2F-0CDF-4165-B109-8B2502B74096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0" shapeId="0" xr:uid="{F84AA5E6-CBD3-4BFE-B4CD-C0D4F014FB4F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0" shapeId="0" xr:uid="{FA562D7A-ACF2-4B9D-BDC5-DE7E829A55C1}">
      <text>
        <r>
          <rPr>
            <sz val="11"/>
            <color indexed="81"/>
            <rFont val="Tahoma"/>
            <family val="2"/>
          </rPr>
          <t>Category refers to the business impact if this risk is realised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" authorId="0" shapeId="0" xr:uid="{536066BA-66C5-4BB5-B87E-0C1ED9990EF2}">
      <text>
        <r>
          <rPr>
            <sz val="11"/>
            <color indexed="81"/>
            <rFont val="Tahoma"/>
            <family val="2"/>
          </rPr>
          <t xml:space="preserve">Base Risk Assessment is the calulation of the inherit risk if this risk without mitigating actions
</t>
        </r>
      </text>
    </comment>
    <comment ref="I1" authorId="0" shapeId="0" xr:uid="{FF04C8B2-CEB8-4C07-9131-149352EA4D68}">
      <text>
        <r>
          <rPr>
            <sz val="11"/>
            <color indexed="81"/>
            <rFont val="Tahoma"/>
            <family val="2"/>
          </rPr>
          <t xml:space="preserve">Base Risk Assessment is the calulation of the mitigated risk if this risk with mitigating actions
</t>
        </r>
      </text>
    </comment>
    <comment ref="L1" authorId="0" shapeId="0" xr:uid="{FFD960CC-E643-4822-BEFB-1BFCBCE88D29}">
      <text>
        <r>
          <rPr>
            <sz val="11"/>
            <color indexed="81"/>
            <rFont val="Tahoma"/>
            <family val="2"/>
          </rPr>
          <t>Risk Category is a level of danger this risk has to busines surival</t>
        </r>
      </text>
    </comment>
    <comment ref="M1" authorId="0" shapeId="0" xr:uid="{A0123C8F-F251-456A-A93C-0AD4E8E8F6E3}">
      <text>
        <r>
          <rPr>
            <sz val="11"/>
            <color indexed="81"/>
            <rFont val="Tahoma"/>
            <family val="2"/>
          </rPr>
          <t>Priority is the seqeunce which executive staff want to be address</t>
        </r>
      </text>
    </comment>
    <comment ref="N1" authorId="0" shapeId="0" xr:uid="{A20496E7-FBC3-4AAB-8F3A-BD82ED9212E5}">
      <text>
        <r>
          <rPr>
            <sz val="11"/>
            <color indexed="81"/>
            <rFont val="Tahoma"/>
            <family val="2"/>
          </rPr>
          <t>Mitigating Actions are all the actions implemented to reduce the risk.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" authorId="0" shapeId="0" xr:uid="{0A4E893F-E134-4259-A5CA-F74087854CDE}">
      <text>
        <r>
          <rPr>
            <sz val="11"/>
            <color indexed="81"/>
            <rFont val="Tahoma"/>
            <family val="2"/>
          </rPr>
          <t>The Current Plan of Action is the plan to be executed if the risk is materialise at this moment.</t>
        </r>
      </text>
    </comment>
    <comment ref="P1" authorId="0" shapeId="0" xr:uid="{C8A6648C-494A-4828-BF9A-7B22CEE4ADCE}">
      <text>
        <r>
          <rPr>
            <sz val="11"/>
            <color indexed="81"/>
            <rFont val="Tahoma"/>
            <family val="2"/>
          </rPr>
          <t>The limited goal is the risk action plan to be achieved within local authority of risk</t>
        </r>
      </text>
    </comment>
    <comment ref="Q1" authorId="0" shapeId="0" xr:uid="{FA060462-F6A8-49E1-B613-E60D90C8BEEA}">
      <text>
        <r>
          <rPr>
            <sz val="11"/>
            <color indexed="81"/>
            <rFont val="Tahoma"/>
            <family val="2"/>
          </rPr>
          <t>The Executive Goal the risk action plan to be achieve with company's authority</t>
        </r>
      </text>
    </comment>
    <comment ref="R1" authorId="0" shapeId="0" xr:uid="{3386384D-AD9A-46BF-9C63-D524347AB44C}">
      <text>
        <r>
          <rPr>
            <sz val="11"/>
            <color indexed="81"/>
            <rFont val="Tahoma"/>
            <family val="2"/>
          </rPr>
          <t>The Executive Goal the risk action plan to be achieve with company's authority</t>
        </r>
      </text>
    </comment>
    <comment ref="S1" authorId="0" shapeId="0" xr:uid="{17036242-BA5B-4FE0-89DD-12E8F9501D56}">
      <text>
        <r>
          <rPr>
            <sz val="11"/>
            <color indexed="81"/>
            <rFont val="Tahoma"/>
            <family val="2"/>
          </rPr>
          <t>The Risk Owner is the custodian of the risk and responsible to ensure risk mitigation and improvement is pursued</t>
        </r>
      </text>
    </comment>
    <comment ref="T1" authorId="0" shapeId="0" xr:uid="{78F6F1D8-B624-4E0A-B2D5-822807DC617A}">
      <text>
        <r>
          <rPr>
            <sz val="11"/>
            <color indexed="81"/>
            <rFont val="Tahoma"/>
            <family val="2"/>
          </rPr>
          <t>The Current Action plan is the what is administratively done with target dat of those actions to achieve risk mitigation goals.</t>
        </r>
      </text>
    </comment>
  </commentList>
</comments>
</file>

<file path=xl/sharedStrings.xml><?xml version="1.0" encoding="utf-8"?>
<sst xmlns="http://schemas.openxmlformats.org/spreadsheetml/2006/main" count="229" uniqueCount="183">
  <si>
    <t>Risk Title</t>
  </si>
  <si>
    <t>Likelihood</t>
  </si>
  <si>
    <t>Impact</t>
  </si>
  <si>
    <t>Score</t>
  </si>
  <si>
    <t xml:space="preserve">Impact </t>
  </si>
  <si>
    <t>Risk Category</t>
  </si>
  <si>
    <t>Mitigating Actions</t>
  </si>
  <si>
    <t>Current PoA</t>
  </si>
  <si>
    <t>Executive Goal</t>
  </si>
  <si>
    <t>Priority</t>
  </si>
  <si>
    <t>Risk Owner</t>
  </si>
  <si>
    <t>Current Action</t>
  </si>
  <si>
    <t>Task</t>
  </si>
  <si>
    <t>Business Impact Category</t>
  </si>
  <si>
    <t>Target Date</t>
  </si>
  <si>
    <t>Inherent Risk Assessment</t>
  </si>
  <si>
    <t>Residual Risk Assessment</t>
  </si>
  <si>
    <t>Risk ID</t>
  </si>
  <si>
    <t>R - 001</t>
  </si>
  <si>
    <t>R - 002</t>
  </si>
  <si>
    <t>R - 003</t>
  </si>
  <si>
    <t>R - 004</t>
  </si>
  <si>
    <t>R - 005</t>
  </si>
  <si>
    <t>R - 006</t>
  </si>
  <si>
    <t>R - 007</t>
  </si>
  <si>
    <t>R - 008</t>
  </si>
  <si>
    <t>R - 009</t>
  </si>
  <si>
    <t>R - 010</t>
  </si>
  <si>
    <t>R - 011</t>
  </si>
  <si>
    <t>R - 012</t>
  </si>
  <si>
    <t>R - 013</t>
  </si>
  <si>
    <t>R - 014</t>
  </si>
  <si>
    <t>R - 015</t>
  </si>
  <si>
    <t>R - 016</t>
  </si>
  <si>
    <t>R - 017</t>
  </si>
  <si>
    <t>R - 018</t>
  </si>
  <si>
    <t>R - 019</t>
  </si>
  <si>
    <t>R - 020</t>
  </si>
  <si>
    <t>R - 021</t>
  </si>
  <si>
    <t>R - 022</t>
  </si>
  <si>
    <t>R - 023</t>
  </si>
  <si>
    <t>R - 024</t>
  </si>
  <si>
    <t>R - 025</t>
  </si>
  <si>
    <t>R - 026</t>
  </si>
  <si>
    <t>R - 027</t>
  </si>
  <si>
    <t>R - 028</t>
  </si>
  <si>
    <t>R - 029</t>
  </si>
  <si>
    <t>R - 030</t>
  </si>
  <si>
    <t>R - 031</t>
  </si>
  <si>
    <t>R - 032</t>
  </si>
  <si>
    <t>R - 033</t>
  </si>
  <si>
    <t>R - 034</t>
  </si>
  <si>
    <t>R - 035</t>
  </si>
  <si>
    <t>R - 036</t>
  </si>
  <si>
    <t>R - 037</t>
  </si>
  <si>
    <t>R - 038</t>
  </si>
  <si>
    <t>R - 039</t>
  </si>
  <si>
    <t>R - 040</t>
  </si>
  <si>
    <t>R - 041</t>
  </si>
  <si>
    <t>R - 042</t>
  </si>
  <si>
    <t>R - 043</t>
  </si>
  <si>
    <t>R - 044</t>
  </si>
  <si>
    <t>R - 045</t>
  </si>
  <si>
    <t>R - 046</t>
  </si>
  <si>
    <t>R - 047</t>
  </si>
  <si>
    <t>R - 048</t>
  </si>
  <si>
    <t>R - 049</t>
  </si>
  <si>
    <t>R - 050</t>
  </si>
  <si>
    <t>R - 051</t>
  </si>
  <si>
    <t>R - 052</t>
  </si>
  <si>
    <t>R - 053</t>
  </si>
  <si>
    <t>R - 054</t>
  </si>
  <si>
    <t>R - 055</t>
  </si>
  <si>
    <t>R - 056</t>
  </si>
  <si>
    <t>R - 057</t>
  </si>
  <si>
    <t>R - 058</t>
  </si>
  <si>
    <t>R - 059</t>
  </si>
  <si>
    <t>R - 060</t>
  </si>
  <si>
    <t>R - 061</t>
  </si>
  <si>
    <t>R - 062</t>
  </si>
  <si>
    <t>R - 063</t>
  </si>
  <si>
    <t>R - 064</t>
  </si>
  <si>
    <t>R - 065</t>
  </si>
  <si>
    <t>R - 066</t>
  </si>
  <si>
    <t>R - 067</t>
  </si>
  <si>
    <t>R - 068</t>
  </si>
  <si>
    <t>R - 069</t>
  </si>
  <si>
    <t>R - 070</t>
  </si>
  <si>
    <t>R - 071</t>
  </si>
  <si>
    <t>R - 072</t>
  </si>
  <si>
    <t>R - 073</t>
  </si>
  <si>
    <t>R - 074</t>
  </si>
  <si>
    <t>R - 075</t>
  </si>
  <si>
    <t>R - 076</t>
  </si>
  <si>
    <t>R - 077</t>
  </si>
  <si>
    <t>R - 078</t>
  </si>
  <si>
    <t>R - 079</t>
  </si>
  <si>
    <t>R - 080</t>
  </si>
  <si>
    <t>R - 081</t>
  </si>
  <si>
    <t>R - 082</t>
  </si>
  <si>
    <t>R - 083</t>
  </si>
  <si>
    <t>R - 084</t>
  </si>
  <si>
    <t>R - 085</t>
  </si>
  <si>
    <t>R - 086</t>
  </si>
  <si>
    <t>R - 087</t>
  </si>
  <si>
    <t>R - 088</t>
  </si>
  <si>
    <t>R - 089</t>
  </si>
  <si>
    <t>R - 090</t>
  </si>
  <si>
    <t>R - 091</t>
  </si>
  <si>
    <t>R - 092</t>
  </si>
  <si>
    <t>R - 093</t>
  </si>
  <si>
    <t>R - 094</t>
  </si>
  <si>
    <t>R - 095</t>
  </si>
  <si>
    <t>R - 096</t>
  </si>
  <si>
    <t>Risk Description</t>
  </si>
  <si>
    <t>Departmental Objective</t>
  </si>
  <si>
    <t>Risk Status</t>
  </si>
  <si>
    <t>Last Reviewed</t>
  </si>
  <si>
    <t>Risk Domain</t>
  </si>
  <si>
    <t>Risk Decision</t>
  </si>
  <si>
    <t>R - 097</t>
  </si>
  <si>
    <t>R - 098</t>
  </si>
  <si>
    <t>R - 099</t>
  </si>
  <si>
    <t>R - 100</t>
  </si>
  <si>
    <t>Core Router Failure</t>
  </si>
  <si>
    <t>Access Switch Failure</t>
  </si>
  <si>
    <t>Configuration Backup Missing</t>
  </si>
  <si>
    <t>VLAN Misconfiguration</t>
  </si>
  <si>
    <t>IPv6 Misconfiguration</t>
  </si>
  <si>
    <t>DHCP Service Failure</t>
  </si>
  <si>
    <t>DNS Service Failure</t>
  </si>
  <si>
    <t>Lack of Network Monitoring</t>
  </si>
  <si>
    <t>Uncontrolled Administrative Access</t>
  </si>
  <si>
    <t>Lack of Change Management</t>
  </si>
  <si>
    <t>Network Capacity Exhaustion</t>
  </si>
  <si>
    <t>Network Documentation Missing</t>
  </si>
  <si>
    <t>Infrastructure</t>
  </si>
  <si>
    <t>Operations</t>
  </si>
  <si>
    <t>Security</t>
  </si>
  <si>
    <t>Operational</t>
  </si>
  <si>
    <t>Strategic</t>
  </si>
  <si>
    <t>If the single inter-VLAN router fails while acting as the network gateway, the network becomes vulnerable to total internal connectivity loss resulting in operational disruption.</t>
  </si>
  <si>
    <t>If an access switch fails without redundancy, connected departments become vulnerable to complete network isolation resulting in service disruption.</t>
  </si>
  <si>
    <t>If network device configurations are lost and no backups exist, infrastructure becomes vulnerable to prolonged recovery time resulting in operational downtime.</t>
  </si>
  <si>
    <t>If VLAN configuration errors occur during network expansion, the network becomes vulnerable to segmentation failure resulting in service disruption or traffic leakage.</t>
  </si>
  <si>
    <t>If IPv6 addressing or routing is misconfigured, devices become vulnerable to connectivity failures resulting in partial network disruption.</t>
  </si>
  <si>
    <t>If the DHCP service fails, client devices become vulnerable to loss of IP assignment resulting in network access disruption.</t>
  </si>
  <si>
    <t>If DNS services fail, users become vulnerable to inability to locate services resulting in widespread service disruption.</t>
  </si>
  <si>
    <t>If network monitoring is absent, failures may remain undetected resulting in prolonged operational disruption.</t>
  </si>
  <si>
    <t>If administrative access is not properly controlled, network devices become vulnerable to unauthorized configuration changes resulting in operational disruption.</t>
  </si>
  <si>
    <t>If network changes are implemented without formal change control, the infrastructure becomes vulnerable to configuration errors resulting in service outages.</t>
  </si>
  <si>
    <t>If network capacity is exceeded during growth, the infrastructure becomes vulnerable to congestion resulting in degraded performance and service disruption.</t>
  </si>
  <si>
    <t>If infrastructure documentation is missing or incomplete, recovery operations become vulnerable to delays resulting in prolonged outages.</t>
  </si>
  <si>
    <t>TBD</t>
  </si>
  <si>
    <t>IT Infrastructure Manager</t>
  </si>
  <si>
    <t>Mitigate</t>
  </si>
  <si>
    <t>Open</t>
  </si>
  <si>
    <t>Risk Domains</t>
  </si>
  <si>
    <t>Compliance</t>
  </si>
  <si>
    <t>Application</t>
  </si>
  <si>
    <t>Network</t>
  </si>
  <si>
    <t>Data</t>
  </si>
  <si>
    <t>Third Party</t>
  </si>
  <si>
    <t>Financial</t>
  </si>
  <si>
    <t>Reputational</t>
  </si>
  <si>
    <t>Legal / Compliance</t>
  </si>
  <si>
    <t>Likelihood Score</t>
  </si>
  <si>
    <t>Impact Score</t>
  </si>
  <si>
    <t>Accept</t>
  </si>
  <si>
    <t>Transfer</t>
  </si>
  <si>
    <t>Avoid</t>
  </si>
  <si>
    <t>In Progress</t>
  </si>
  <si>
    <t>Monitoring</t>
  </si>
  <si>
    <t>Accepted</t>
  </si>
  <si>
    <t>Closed</t>
  </si>
  <si>
    <t>Network Configuration Backup Policy v1.1</t>
  </si>
  <si>
    <t>Configuration Recovery Procedure v1.1</t>
  </si>
  <si>
    <t xml:space="preserve">Annual review </t>
  </si>
  <si>
    <t>Network Operational Verification Policy v1.0</t>
  </si>
  <si>
    <t>Network Operational Verification Procedure v1.0</t>
  </si>
  <si>
    <t>Implement basic network monitoring capability</t>
  </si>
  <si>
    <t>Centralized network monitoring and alerting platform</t>
  </si>
  <si>
    <t>Design and Implement an In-House Network Monitoring Capability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</si>
</sst>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1"/>
      <name val="Tahoma"/>
      <family val="2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15" fontId="0" fillId="0" borderId="8" xfId="0" applyNumberFormat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15" fontId="0" fillId="2" borderId="8" xfId="0" applyNumberFormat="1" applyFill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D05B9-D14F-4139-A0D4-519E0444DAB5}">
  <sheetPr>
    <pageSetUpPr fitToPage="1"/>
  </sheetPr>
  <dimension ref="A1:W102"/>
  <sheetViews>
    <sheetView tabSelected="1"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T4" sqref="T4"/>
    </sheetView>
  </sheetViews>
  <sheetFormatPr defaultRowHeight="15" x14ac:dyDescent="0.25"/>
  <cols>
    <col min="1" max="1" width="10.85546875" style="4" bestFit="1" customWidth="1"/>
    <col min="2" max="2" width="36.28515625" style="4" bestFit="1" customWidth="1"/>
    <col min="3" max="3" width="16.7109375" style="4" bestFit="1" customWidth="1"/>
    <col min="4" max="4" width="33.7109375" style="4" bestFit="1" customWidth="1"/>
    <col min="5" max="5" width="61.42578125" style="5" customWidth="1"/>
    <col min="6" max="6" width="14.42578125" style="4" bestFit="1" customWidth="1"/>
    <col min="7" max="7" width="10" style="4" bestFit="1" customWidth="1"/>
    <col min="8" max="8" width="9" style="4" bestFit="1" customWidth="1"/>
    <col min="9" max="9" width="14.42578125" style="4" bestFit="1" customWidth="1"/>
    <col min="10" max="10" width="10.85546875" style="4" bestFit="1" customWidth="1"/>
    <col min="11" max="11" width="9" style="4" bestFit="1" customWidth="1"/>
    <col min="12" max="12" width="19.42578125" style="4" bestFit="1" customWidth="1"/>
    <col min="13" max="13" width="11.28515625" style="4" bestFit="1" customWidth="1"/>
    <col min="14" max="14" width="55.7109375" style="4" bestFit="1" customWidth="1"/>
    <col min="15" max="15" width="59.85546875" style="4" bestFit="1" customWidth="1"/>
    <col min="16" max="16" width="46.140625" style="4" bestFit="1" customWidth="1"/>
    <col min="17" max="17" width="48.140625" style="4" bestFit="1" customWidth="1"/>
    <col min="18" max="18" width="30" style="4" bestFit="1" customWidth="1"/>
    <col min="19" max="19" width="33.85546875" style="4" customWidth="1"/>
    <col min="20" max="20" width="51.140625" style="5" customWidth="1"/>
    <col min="21" max="21" width="16.28515625" style="4" bestFit="1" customWidth="1"/>
    <col min="22" max="22" width="15.7109375" style="1" bestFit="1" customWidth="1"/>
    <col min="23" max="23" width="19.42578125" style="1" bestFit="1" customWidth="1"/>
    <col min="24" max="16384" width="9.140625" style="1"/>
  </cols>
  <sheetData>
    <row r="1" spans="1:23" s="8" customFormat="1" x14ac:dyDescent="0.25">
      <c r="A1" s="25" t="s">
        <v>17</v>
      </c>
      <c r="B1" s="25" t="s">
        <v>0</v>
      </c>
      <c r="C1" s="23" t="s">
        <v>118</v>
      </c>
      <c r="D1" s="23" t="s">
        <v>13</v>
      </c>
      <c r="E1" s="21" t="s">
        <v>114</v>
      </c>
      <c r="F1" s="27" t="s">
        <v>15</v>
      </c>
      <c r="G1" s="28"/>
      <c r="H1" s="29"/>
      <c r="I1" s="27" t="s">
        <v>16</v>
      </c>
      <c r="J1" s="28"/>
      <c r="K1" s="29"/>
      <c r="L1" s="25" t="s">
        <v>5</v>
      </c>
      <c r="M1" s="25" t="s">
        <v>9</v>
      </c>
      <c r="N1" s="25" t="s">
        <v>6</v>
      </c>
      <c r="O1" s="25" t="s">
        <v>7</v>
      </c>
      <c r="P1" s="25" t="s">
        <v>115</v>
      </c>
      <c r="Q1" s="25" t="s">
        <v>8</v>
      </c>
      <c r="R1" s="25" t="s">
        <v>119</v>
      </c>
      <c r="S1" s="25" t="s">
        <v>10</v>
      </c>
      <c r="T1" s="27" t="s">
        <v>11</v>
      </c>
      <c r="U1" s="29"/>
      <c r="V1" s="21" t="s">
        <v>116</v>
      </c>
      <c r="W1" s="21" t="s">
        <v>117</v>
      </c>
    </row>
    <row r="2" spans="1:23" s="8" customFormat="1" ht="15.75" thickBot="1" x14ac:dyDescent="0.3">
      <c r="A2" s="26"/>
      <c r="B2" s="26"/>
      <c r="C2" s="24"/>
      <c r="D2" s="24"/>
      <c r="E2" s="22"/>
      <c r="F2" s="9" t="s">
        <v>1</v>
      </c>
      <c r="G2" s="10" t="s">
        <v>2</v>
      </c>
      <c r="H2" s="11" t="s">
        <v>3</v>
      </c>
      <c r="I2" s="9" t="s">
        <v>1</v>
      </c>
      <c r="J2" s="10" t="s">
        <v>4</v>
      </c>
      <c r="K2" s="11" t="s">
        <v>3</v>
      </c>
      <c r="L2" s="26"/>
      <c r="M2" s="26"/>
      <c r="N2" s="26"/>
      <c r="O2" s="26"/>
      <c r="P2" s="26"/>
      <c r="Q2" s="26"/>
      <c r="R2" s="26"/>
      <c r="S2" s="26"/>
      <c r="T2" s="12" t="s">
        <v>12</v>
      </c>
      <c r="U2" s="11" t="s">
        <v>14</v>
      </c>
      <c r="V2" s="22"/>
      <c r="W2" s="22"/>
    </row>
    <row r="3" spans="1:23" ht="75" customHeight="1" x14ac:dyDescent="0.25">
      <c r="A3" s="2" t="s">
        <v>20</v>
      </c>
      <c r="B3" s="2" t="s">
        <v>126</v>
      </c>
      <c r="C3" s="2" t="s">
        <v>137</v>
      </c>
      <c r="D3" s="2" t="s">
        <v>139</v>
      </c>
      <c r="E3" s="3" t="s">
        <v>143</v>
      </c>
      <c r="F3" s="2">
        <v>4</v>
      </c>
      <c r="G3" s="2">
        <v>4</v>
      </c>
      <c r="H3" s="2">
        <f t="shared" ref="H3:H14" si="0">F3*G3</f>
        <v>16</v>
      </c>
      <c r="I3" s="2">
        <v>4</v>
      </c>
      <c r="J3" s="2">
        <v>2</v>
      </c>
      <c r="K3" s="2">
        <f t="shared" ref="K3:K14" si="1">I3*J3</f>
        <v>8</v>
      </c>
      <c r="L3" s="2"/>
      <c r="M3" s="2">
        <v>1</v>
      </c>
      <c r="N3" s="2" t="s">
        <v>175</v>
      </c>
      <c r="O3" s="2" t="s">
        <v>176</v>
      </c>
      <c r="P3" s="2" t="s">
        <v>176</v>
      </c>
      <c r="Q3" s="2" t="s">
        <v>176</v>
      </c>
      <c r="R3" s="2" t="s">
        <v>155</v>
      </c>
      <c r="S3" s="2" t="s">
        <v>154</v>
      </c>
      <c r="T3" s="3" t="s">
        <v>177</v>
      </c>
      <c r="U3" s="13">
        <v>46419</v>
      </c>
      <c r="V3" s="2" t="s">
        <v>173</v>
      </c>
      <c r="W3" s="13">
        <v>46113</v>
      </c>
    </row>
    <row r="4" spans="1:23" ht="90" customHeight="1" x14ac:dyDescent="0.25">
      <c r="A4" s="6" t="s">
        <v>25</v>
      </c>
      <c r="B4" s="6" t="s">
        <v>131</v>
      </c>
      <c r="C4" s="6" t="s">
        <v>137</v>
      </c>
      <c r="D4" s="6" t="s">
        <v>139</v>
      </c>
      <c r="E4" s="7" t="s">
        <v>148</v>
      </c>
      <c r="F4" s="6">
        <v>4</v>
      </c>
      <c r="G4" s="6">
        <v>4</v>
      </c>
      <c r="H4" s="6">
        <f t="shared" si="0"/>
        <v>16</v>
      </c>
      <c r="I4" s="6">
        <v>4</v>
      </c>
      <c r="J4" s="6">
        <v>4</v>
      </c>
      <c r="K4" s="6">
        <f t="shared" si="1"/>
        <v>16</v>
      </c>
      <c r="L4" s="6"/>
      <c r="M4" s="6">
        <v>2</v>
      </c>
      <c r="N4" s="6" t="s">
        <v>178</v>
      </c>
      <c r="O4" s="6" t="s">
        <v>179</v>
      </c>
      <c r="P4" s="6" t="s">
        <v>180</v>
      </c>
      <c r="Q4" s="6" t="s">
        <v>181</v>
      </c>
      <c r="R4" s="6" t="s">
        <v>155</v>
      </c>
      <c r="S4" s="6" t="s">
        <v>154</v>
      </c>
      <c r="T4" s="7" t="s">
        <v>182</v>
      </c>
      <c r="U4" s="14">
        <v>46120</v>
      </c>
      <c r="V4" s="6" t="s">
        <v>171</v>
      </c>
      <c r="W4" s="14">
        <v>46120</v>
      </c>
    </row>
    <row r="5" spans="1:23" ht="120" customHeight="1" x14ac:dyDescent="0.25">
      <c r="A5" s="15" t="s">
        <v>27</v>
      </c>
      <c r="B5" s="15" t="s">
        <v>133</v>
      </c>
      <c r="C5" s="15" t="s">
        <v>137</v>
      </c>
      <c r="D5" s="15" t="s">
        <v>139</v>
      </c>
      <c r="E5" s="16" t="s">
        <v>150</v>
      </c>
      <c r="F5" s="15">
        <v>4</v>
      </c>
      <c r="G5" s="15">
        <v>4</v>
      </c>
      <c r="H5" s="15">
        <f t="shared" si="0"/>
        <v>16</v>
      </c>
      <c r="I5" s="15">
        <v>4</v>
      </c>
      <c r="J5" s="15">
        <v>4</v>
      </c>
      <c r="K5" s="15">
        <f t="shared" si="1"/>
        <v>16</v>
      </c>
      <c r="L5" s="15"/>
      <c r="M5" s="15">
        <v>3</v>
      </c>
      <c r="N5" s="15"/>
      <c r="O5" s="15"/>
      <c r="P5" s="15"/>
      <c r="Q5" s="15"/>
      <c r="R5" s="15"/>
      <c r="S5" s="15"/>
      <c r="T5" s="16"/>
      <c r="U5" s="17"/>
      <c r="V5" s="15" t="s">
        <v>156</v>
      </c>
      <c r="W5" s="17">
        <v>46089</v>
      </c>
    </row>
    <row r="6" spans="1:23" ht="90" customHeight="1" x14ac:dyDescent="0.25">
      <c r="A6" s="4" t="s">
        <v>18</v>
      </c>
      <c r="B6" s="4" t="s">
        <v>124</v>
      </c>
      <c r="C6" s="4" t="s">
        <v>136</v>
      </c>
      <c r="D6" s="4" t="s">
        <v>139</v>
      </c>
      <c r="E6" s="5" t="s">
        <v>141</v>
      </c>
      <c r="F6" s="4">
        <v>3</v>
      </c>
      <c r="G6" s="4">
        <v>5</v>
      </c>
      <c r="H6" s="4">
        <f t="shared" si="0"/>
        <v>15</v>
      </c>
      <c r="I6" s="4">
        <v>3</v>
      </c>
      <c r="J6" s="4">
        <v>5</v>
      </c>
      <c r="K6" s="4">
        <f t="shared" si="1"/>
        <v>15</v>
      </c>
      <c r="M6" s="4">
        <v>4</v>
      </c>
      <c r="U6" s="18"/>
      <c r="V6" s="4" t="s">
        <v>156</v>
      </c>
      <c r="W6" s="18">
        <v>46089</v>
      </c>
    </row>
    <row r="7" spans="1:23" ht="75" customHeight="1" x14ac:dyDescent="0.25">
      <c r="A7" s="2" t="s">
        <v>26</v>
      </c>
      <c r="B7" s="2" t="s">
        <v>132</v>
      </c>
      <c r="C7" s="2" t="s">
        <v>138</v>
      </c>
      <c r="D7" s="2" t="s">
        <v>139</v>
      </c>
      <c r="E7" s="3" t="s">
        <v>149</v>
      </c>
      <c r="F7" s="2">
        <v>3</v>
      </c>
      <c r="G7" s="2">
        <v>5</v>
      </c>
      <c r="H7" s="2">
        <f t="shared" si="0"/>
        <v>15</v>
      </c>
      <c r="I7" s="2">
        <v>3</v>
      </c>
      <c r="J7" s="2">
        <v>5</v>
      </c>
      <c r="K7" s="2">
        <f t="shared" si="1"/>
        <v>15</v>
      </c>
      <c r="L7" s="2"/>
      <c r="M7" s="2">
        <v>5</v>
      </c>
      <c r="N7" s="2"/>
      <c r="O7" s="2"/>
      <c r="P7" s="2"/>
      <c r="Q7" s="2"/>
      <c r="R7" s="2"/>
      <c r="S7" s="2"/>
      <c r="T7" s="3"/>
      <c r="U7" s="13"/>
      <c r="V7" s="2" t="s">
        <v>156</v>
      </c>
      <c r="W7" s="13">
        <v>46089</v>
      </c>
    </row>
    <row r="8" spans="1:23" ht="75" customHeight="1" x14ac:dyDescent="0.25">
      <c r="A8" s="6" t="s">
        <v>19</v>
      </c>
      <c r="B8" s="6" t="s">
        <v>125</v>
      </c>
      <c r="C8" s="6" t="s">
        <v>136</v>
      </c>
      <c r="D8" s="6" t="s">
        <v>139</v>
      </c>
      <c r="E8" s="7" t="s">
        <v>142</v>
      </c>
      <c r="F8" s="6">
        <v>3</v>
      </c>
      <c r="G8" s="6">
        <v>4</v>
      </c>
      <c r="H8" s="6">
        <f t="shared" si="0"/>
        <v>12</v>
      </c>
      <c r="I8" s="6">
        <v>3</v>
      </c>
      <c r="J8" s="6">
        <v>4</v>
      </c>
      <c r="K8" s="6">
        <f t="shared" si="1"/>
        <v>12</v>
      </c>
      <c r="L8" s="6"/>
      <c r="M8" s="6">
        <v>6</v>
      </c>
      <c r="N8" s="6"/>
      <c r="O8" s="6"/>
      <c r="P8" s="6"/>
      <c r="Q8" s="6"/>
      <c r="R8" s="6"/>
      <c r="S8" s="6"/>
      <c r="T8" s="7"/>
      <c r="U8" s="14"/>
      <c r="V8" s="6" t="s">
        <v>156</v>
      </c>
      <c r="W8" s="14">
        <v>46089</v>
      </c>
    </row>
    <row r="9" spans="1:23" ht="75" customHeight="1" x14ac:dyDescent="0.25">
      <c r="A9" s="15" t="s">
        <v>23</v>
      </c>
      <c r="B9" s="15" t="s">
        <v>129</v>
      </c>
      <c r="C9" s="15" t="s">
        <v>136</v>
      </c>
      <c r="D9" s="15" t="s">
        <v>139</v>
      </c>
      <c r="E9" s="16" t="s">
        <v>146</v>
      </c>
      <c r="F9" s="15">
        <v>3</v>
      </c>
      <c r="G9" s="15">
        <v>4</v>
      </c>
      <c r="H9" s="15">
        <f t="shared" si="0"/>
        <v>12</v>
      </c>
      <c r="I9" s="15">
        <v>3</v>
      </c>
      <c r="J9" s="15">
        <v>4</v>
      </c>
      <c r="K9" s="15">
        <f t="shared" si="1"/>
        <v>12</v>
      </c>
      <c r="L9" s="15"/>
      <c r="M9" s="15">
        <v>7</v>
      </c>
      <c r="N9" s="15"/>
      <c r="O9" s="15"/>
      <c r="P9" s="15"/>
      <c r="Q9" s="15"/>
      <c r="R9" s="15"/>
      <c r="S9" s="15"/>
      <c r="T9" s="16"/>
      <c r="U9" s="17"/>
      <c r="V9" s="15" t="s">
        <v>156</v>
      </c>
      <c r="W9" s="17">
        <v>46089</v>
      </c>
    </row>
    <row r="10" spans="1:23" ht="90" customHeight="1" x14ac:dyDescent="0.25">
      <c r="A10" s="4" t="s">
        <v>24</v>
      </c>
      <c r="B10" s="4" t="s">
        <v>130</v>
      </c>
      <c r="C10" s="4" t="s">
        <v>136</v>
      </c>
      <c r="D10" s="4" t="s">
        <v>139</v>
      </c>
      <c r="E10" s="5" t="s">
        <v>147</v>
      </c>
      <c r="F10" s="4">
        <v>3</v>
      </c>
      <c r="G10" s="4">
        <v>4</v>
      </c>
      <c r="H10" s="4">
        <f t="shared" si="0"/>
        <v>12</v>
      </c>
      <c r="I10" s="4">
        <v>3</v>
      </c>
      <c r="J10" s="4">
        <v>4</v>
      </c>
      <c r="K10" s="4">
        <f t="shared" si="1"/>
        <v>12</v>
      </c>
      <c r="M10" s="4">
        <v>8</v>
      </c>
      <c r="U10" s="18"/>
      <c r="V10" s="4" t="s">
        <v>156</v>
      </c>
      <c r="W10" s="18">
        <v>46089</v>
      </c>
    </row>
    <row r="11" spans="1:23" ht="90" customHeight="1" x14ac:dyDescent="0.25">
      <c r="A11" s="2" t="s">
        <v>28</v>
      </c>
      <c r="B11" s="2" t="s">
        <v>134</v>
      </c>
      <c r="C11" s="2" t="s">
        <v>136</v>
      </c>
      <c r="D11" s="2" t="s">
        <v>140</v>
      </c>
      <c r="E11" s="3" t="s">
        <v>151</v>
      </c>
      <c r="F11" s="2">
        <v>3</v>
      </c>
      <c r="G11" s="2">
        <v>4</v>
      </c>
      <c r="H11" s="2">
        <f t="shared" si="0"/>
        <v>12</v>
      </c>
      <c r="I11" s="2">
        <v>3</v>
      </c>
      <c r="J11" s="2">
        <v>4</v>
      </c>
      <c r="K11" s="2">
        <f t="shared" si="1"/>
        <v>12</v>
      </c>
      <c r="L11" s="2"/>
      <c r="M11" s="2">
        <v>9</v>
      </c>
      <c r="N11" s="2"/>
      <c r="O11" s="2"/>
      <c r="P11" s="2"/>
      <c r="Q11" s="2"/>
      <c r="R11" s="2"/>
      <c r="S11" s="2"/>
      <c r="T11" s="3"/>
      <c r="U11" s="13"/>
      <c r="V11" s="2" t="s">
        <v>156</v>
      </c>
      <c r="W11" s="13">
        <v>46089</v>
      </c>
    </row>
    <row r="12" spans="1:23" ht="90" customHeight="1" x14ac:dyDescent="0.25">
      <c r="A12" s="6" t="s">
        <v>21</v>
      </c>
      <c r="B12" s="6" t="s">
        <v>127</v>
      </c>
      <c r="C12" s="6" t="s">
        <v>137</v>
      </c>
      <c r="D12" s="6" t="s">
        <v>139</v>
      </c>
      <c r="E12" s="7" t="s">
        <v>144</v>
      </c>
      <c r="F12" s="6">
        <v>3</v>
      </c>
      <c r="G12" s="6">
        <v>3</v>
      </c>
      <c r="H12" s="6">
        <f t="shared" si="0"/>
        <v>9</v>
      </c>
      <c r="I12" s="6">
        <v>3</v>
      </c>
      <c r="J12" s="6">
        <v>3</v>
      </c>
      <c r="K12" s="6">
        <f t="shared" si="1"/>
        <v>9</v>
      </c>
      <c r="L12" s="6"/>
      <c r="M12" s="6">
        <v>10</v>
      </c>
      <c r="N12" s="6"/>
      <c r="O12" s="6"/>
      <c r="P12" s="6"/>
      <c r="Q12" s="6"/>
      <c r="R12" s="6"/>
      <c r="S12" s="6"/>
      <c r="T12" s="7"/>
      <c r="U12" s="14"/>
      <c r="V12" s="6" t="s">
        <v>156</v>
      </c>
      <c r="W12" s="14">
        <v>46089</v>
      </c>
    </row>
    <row r="13" spans="1:23" ht="120" customHeight="1" x14ac:dyDescent="0.25">
      <c r="A13" s="2" t="s">
        <v>22</v>
      </c>
      <c r="B13" s="2" t="s">
        <v>128</v>
      </c>
      <c r="C13" s="2" t="s">
        <v>136</v>
      </c>
      <c r="D13" s="2" t="s">
        <v>139</v>
      </c>
      <c r="E13" s="3" t="s">
        <v>145</v>
      </c>
      <c r="F13" s="2">
        <v>3</v>
      </c>
      <c r="G13" s="2">
        <v>3</v>
      </c>
      <c r="H13" s="2">
        <f t="shared" si="0"/>
        <v>9</v>
      </c>
      <c r="I13" s="2">
        <v>3</v>
      </c>
      <c r="J13" s="2">
        <v>3</v>
      </c>
      <c r="K13" s="2">
        <f t="shared" si="1"/>
        <v>9</v>
      </c>
      <c r="L13" s="2"/>
      <c r="M13" s="2">
        <v>11</v>
      </c>
      <c r="N13" s="2"/>
      <c r="O13" s="2"/>
      <c r="P13" s="2"/>
      <c r="Q13" s="2"/>
      <c r="R13" s="2"/>
      <c r="S13" s="2"/>
      <c r="T13" s="3"/>
      <c r="U13" s="13"/>
      <c r="V13" s="2" t="s">
        <v>156</v>
      </c>
      <c r="W13" s="13">
        <v>46089</v>
      </c>
    </row>
    <row r="14" spans="1:23" ht="90" customHeight="1" x14ac:dyDescent="0.25">
      <c r="A14" s="6" t="s">
        <v>29</v>
      </c>
      <c r="B14" s="6" t="s">
        <v>135</v>
      </c>
      <c r="C14" s="6" t="s">
        <v>137</v>
      </c>
      <c r="D14" s="6" t="s">
        <v>139</v>
      </c>
      <c r="E14" s="7" t="s">
        <v>152</v>
      </c>
      <c r="F14" s="6">
        <v>3</v>
      </c>
      <c r="G14" s="6">
        <v>3</v>
      </c>
      <c r="H14" s="6">
        <f t="shared" si="0"/>
        <v>9</v>
      </c>
      <c r="I14" s="6">
        <v>3</v>
      </c>
      <c r="J14" s="6">
        <v>3</v>
      </c>
      <c r="K14" s="6">
        <f t="shared" si="1"/>
        <v>9</v>
      </c>
      <c r="L14" s="6"/>
      <c r="M14" s="6" t="s">
        <v>153</v>
      </c>
      <c r="N14" s="6"/>
      <c r="O14" s="6"/>
      <c r="P14" s="6"/>
      <c r="Q14" s="6"/>
      <c r="R14" s="6"/>
      <c r="S14" s="6"/>
      <c r="T14" s="7"/>
      <c r="U14" s="14"/>
      <c r="V14" s="6" t="s">
        <v>156</v>
      </c>
      <c r="W14" s="14">
        <v>46089</v>
      </c>
    </row>
    <row r="15" spans="1:23" x14ac:dyDescent="0.25">
      <c r="A15" s="2" t="s">
        <v>30</v>
      </c>
      <c r="B15" s="2"/>
      <c r="C15" s="2"/>
      <c r="D15" s="2"/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3"/>
      <c r="U15" s="2"/>
      <c r="V15" s="2"/>
      <c r="W15" s="2"/>
    </row>
    <row r="16" spans="1:23" x14ac:dyDescent="0.25">
      <c r="A16" s="6" t="s">
        <v>31</v>
      </c>
      <c r="B16" s="6"/>
      <c r="C16" s="6"/>
      <c r="D16" s="6"/>
      <c r="E16" s="7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7"/>
      <c r="U16" s="6"/>
      <c r="V16" s="6"/>
      <c r="W16" s="6"/>
    </row>
    <row r="17" spans="1:23" x14ac:dyDescent="0.25">
      <c r="A17" s="2" t="s">
        <v>32</v>
      </c>
      <c r="B17" s="2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"/>
      <c r="U17" s="2"/>
      <c r="V17" s="2"/>
      <c r="W17" s="2"/>
    </row>
    <row r="18" spans="1:23" x14ac:dyDescent="0.25">
      <c r="A18" s="6" t="s">
        <v>33</v>
      </c>
      <c r="B18" s="6"/>
      <c r="C18" s="6"/>
      <c r="D18" s="6"/>
      <c r="E18" s="7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7"/>
      <c r="U18" s="6"/>
      <c r="V18" s="6"/>
      <c r="W18" s="6"/>
    </row>
    <row r="19" spans="1:23" x14ac:dyDescent="0.25">
      <c r="A19" s="2" t="s">
        <v>34</v>
      </c>
      <c r="B19" s="2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"/>
      <c r="U19" s="2"/>
      <c r="V19" s="2"/>
      <c r="W19" s="2"/>
    </row>
    <row r="20" spans="1:23" x14ac:dyDescent="0.25">
      <c r="A20" s="6" t="s">
        <v>35</v>
      </c>
      <c r="B20" s="6"/>
      <c r="C20" s="6"/>
      <c r="D20" s="6"/>
      <c r="E20" s="7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7"/>
      <c r="U20" s="6"/>
      <c r="V20" s="6"/>
      <c r="W20" s="6"/>
    </row>
    <row r="21" spans="1:23" x14ac:dyDescent="0.25">
      <c r="A21" s="2" t="s">
        <v>36</v>
      </c>
      <c r="B21" s="2"/>
      <c r="C21" s="2"/>
      <c r="D21" s="2"/>
      <c r="E21" s="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"/>
      <c r="U21" s="2"/>
      <c r="V21" s="2"/>
      <c r="W21" s="2"/>
    </row>
    <row r="22" spans="1:23" x14ac:dyDescent="0.25">
      <c r="A22" s="6" t="s">
        <v>37</v>
      </c>
      <c r="B22" s="6"/>
      <c r="C22" s="6"/>
      <c r="D22" s="6"/>
      <c r="E22" s="7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7"/>
      <c r="U22" s="6"/>
      <c r="V22" s="6"/>
      <c r="W22" s="6"/>
    </row>
    <row r="23" spans="1:23" x14ac:dyDescent="0.25">
      <c r="A23" s="2" t="s">
        <v>38</v>
      </c>
      <c r="B23" s="2"/>
      <c r="C23" s="2"/>
      <c r="D23" s="2"/>
      <c r="E23" s="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"/>
      <c r="U23" s="2"/>
      <c r="V23" s="2"/>
      <c r="W23" s="2"/>
    </row>
    <row r="24" spans="1:23" x14ac:dyDescent="0.25">
      <c r="A24" s="6" t="s">
        <v>39</v>
      </c>
      <c r="B24" s="6"/>
      <c r="C24" s="6"/>
      <c r="D24" s="6"/>
      <c r="E24" s="7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7"/>
      <c r="U24" s="6"/>
      <c r="V24" s="6"/>
      <c r="W24" s="6"/>
    </row>
    <row r="25" spans="1:23" x14ac:dyDescent="0.25">
      <c r="A25" s="2" t="s">
        <v>40</v>
      </c>
      <c r="B25" s="2"/>
      <c r="C25" s="2"/>
      <c r="D25" s="2"/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3"/>
      <c r="U25" s="2"/>
      <c r="V25" s="2"/>
      <c r="W25" s="2"/>
    </row>
    <row r="26" spans="1:23" x14ac:dyDescent="0.25">
      <c r="A26" s="6" t="s">
        <v>41</v>
      </c>
      <c r="B26" s="6"/>
      <c r="C26" s="6"/>
      <c r="D26" s="6"/>
      <c r="E26" s="7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7"/>
      <c r="U26" s="6"/>
      <c r="V26" s="6"/>
      <c r="W26" s="6"/>
    </row>
    <row r="27" spans="1:23" x14ac:dyDescent="0.25">
      <c r="A27" s="2" t="s">
        <v>42</v>
      </c>
      <c r="B27" s="2"/>
      <c r="C27" s="2"/>
      <c r="D27" s="2"/>
      <c r="E27" s="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3"/>
      <c r="U27" s="2"/>
      <c r="V27" s="2"/>
      <c r="W27" s="2"/>
    </row>
    <row r="28" spans="1:23" x14ac:dyDescent="0.25">
      <c r="A28" s="6" t="s">
        <v>43</v>
      </c>
      <c r="B28" s="6"/>
      <c r="C28" s="6"/>
      <c r="D28" s="6"/>
      <c r="E28" s="7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7"/>
      <c r="U28" s="6"/>
      <c r="V28" s="6"/>
      <c r="W28" s="6"/>
    </row>
    <row r="29" spans="1:23" x14ac:dyDescent="0.25">
      <c r="A29" s="2" t="s">
        <v>44</v>
      </c>
      <c r="B29" s="2"/>
      <c r="C29" s="2"/>
      <c r="D29" s="2"/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3"/>
      <c r="U29" s="2"/>
      <c r="V29" s="2"/>
      <c r="W29" s="2"/>
    </row>
    <row r="30" spans="1:23" x14ac:dyDescent="0.25">
      <c r="A30" s="6" t="s">
        <v>45</v>
      </c>
      <c r="B30" s="6"/>
      <c r="C30" s="6"/>
      <c r="D30" s="6"/>
      <c r="E30" s="7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7"/>
      <c r="U30" s="6"/>
      <c r="V30" s="6"/>
      <c r="W30" s="6"/>
    </row>
    <row r="31" spans="1:23" x14ac:dyDescent="0.25">
      <c r="A31" s="2" t="s">
        <v>46</v>
      </c>
      <c r="B31" s="2"/>
      <c r="C31" s="2"/>
      <c r="D31" s="2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"/>
      <c r="U31" s="2"/>
      <c r="V31" s="2"/>
      <c r="W31" s="2"/>
    </row>
    <row r="32" spans="1:23" x14ac:dyDescent="0.25">
      <c r="A32" s="6" t="s">
        <v>47</v>
      </c>
      <c r="B32" s="6"/>
      <c r="C32" s="6"/>
      <c r="D32" s="6"/>
      <c r="E32" s="7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7"/>
      <c r="U32" s="6"/>
      <c r="V32" s="6"/>
      <c r="W32" s="6"/>
    </row>
    <row r="33" spans="1:23" x14ac:dyDescent="0.25">
      <c r="A33" s="2" t="s">
        <v>48</v>
      </c>
      <c r="B33" s="2"/>
      <c r="C33" s="2"/>
      <c r="D33" s="2"/>
      <c r="E33" s="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"/>
      <c r="U33" s="2"/>
      <c r="V33" s="2"/>
      <c r="W33" s="2"/>
    </row>
    <row r="34" spans="1:23" x14ac:dyDescent="0.25">
      <c r="A34" s="6" t="s">
        <v>49</v>
      </c>
      <c r="B34" s="6"/>
      <c r="C34" s="6"/>
      <c r="D34" s="6"/>
      <c r="E34" s="7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7"/>
      <c r="U34" s="6"/>
      <c r="V34" s="6"/>
      <c r="W34" s="6"/>
    </row>
    <row r="35" spans="1:23" x14ac:dyDescent="0.25">
      <c r="A35" s="2" t="s">
        <v>50</v>
      </c>
      <c r="B35" s="2"/>
      <c r="C35" s="2"/>
      <c r="D35" s="2"/>
      <c r="E35" s="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"/>
      <c r="U35" s="2"/>
      <c r="V35" s="2"/>
      <c r="W35" s="2"/>
    </row>
    <row r="36" spans="1:23" x14ac:dyDescent="0.25">
      <c r="A36" s="6" t="s">
        <v>51</v>
      </c>
      <c r="B36" s="6"/>
      <c r="C36" s="6"/>
      <c r="D36" s="6"/>
      <c r="E36" s="7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7"/>
      <c r="U36" s="6"/>
      <c r="V36" s="6"/>
      <c r="W36" s="6"/>
    </row>
    <row r="37" spans="1:23" x14ac:dyDescent="0.25">
      <c r="A37" s="2" t="s">
        <v>52</v>
      </c>
      <c r="B37" s="2"/>
      <c r="C37" s="2"/>
      <c r="D37" s="2"/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3"/>
      <c r="U37" s="2"/>
      <c r="V37" s="2"/>
      <c r="W37" s="2"/>
    </row>
    <row r="38" spans="1:23" x14ac:dyDescent="0.25">
      <c r="A38" s="6" t="s">
        <v>53</v>
      </c>
      <c r="B38" s="6"/>
      <c r="C38" s="6"/>
      <c r="D38" s="6"/>
      <c r="E38" s="7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7"/>
      <c r="U38" s="6"/>
      <c r="V38" s="6"/>
      <c r="W38" s="6"/>
    </row>
    <row r="39" spans="1:23" x14ac:dyDescent="0.25">
      <c r="A39" s="2" t="s">
        <v>54</v>
      </c>
      <c r="B39" s="2"/>
      <c r="C39" s="2"/>
      <c r="D39" s="2"/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3"/>
      <c r="U39" s="2"/>
      <c r="V39" s="2"/>
      <c r="W39" s="2"/>
    </row>
    <row r="40" spans="1:23" x14ac:dyDescent="0.25">
      <c r="A40" s="6" t="s">
        <v>55</v>
      </c>
      <c r="B40" s="6"/>
      <c r="C40" s="6"/>
      <c r="D40" s="6"/>
      <c r="E40" s="7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7"/>
      <c r="U40" s="6"/>
      <c r="V40" s="6"/>
      <c r="W40" s="6"/>
    </row>
    <row r="41" spans="1:23" x14ac:dyDescent="0.25">
      <c r="A41" s="2" t="s">
        <v>56</v>
      </c>
      <c r="B41" s="2"/>
      <c r="C41" s="2"/>
      <c r="D41" s="2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3"/>
      <c r="U41" s="2"/>
      <c r="V41" s="2"/>
      <c r="W41" s="2"/>
    </row>
    <row r="42" spans="1:23" x14ac:dyDescent="0.25">
      <c r="A42" s="6" t="s">
        <v>57</v>
      </c>
      <c r="B42" s="6"/>
      <c r="C42" s="6"/>
      <c r="D42" s="6"/>
      <c r="E42" s="7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7"/>
      <c r="U42" s="6"/>
      <c r="V42" s="6"/>
      <c r="W42" s="6"/>
    </row>
    <row r="43" spans="1:23" x14ac:dyDescent="0.25">
      <c r="A43" s="2" t="s">
        <v>58</v>
      </c>
      <c r="B43" s="2"/>
      <c r="C43" s="2"/>
      <c r="D43" s="2"/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3"/>
      <c r="U43" s="2"/>
      <c r="V43" s="2"/>
      <c r="W43" s="2"/>
    </row>
    <row r="44" spans="1:23" x14ac:dyDescent="0.25">
      <c r="A44" s="6" t="s">
        <v>59</v>
      </c>
      <c r="B44" s="6"/>
      <c r="C44" s="6"/>
      <c r="D44" s="6"/>
      <c r="E44" s="7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7"/>
      <c r="U44" s="6"/>
      <c r="V44" s="6"/>
      <c r="W44" s="6"/>
    </row>
    <row r="45" spans="1:23" x14ac:dyDescent="0.25">
      <c r="A45" s="2" t="s">
        <v>60</v>
      </c>
      <c r="B45" s="2"/>
      <c r="C45" s="2"/>
      <c r="D45" s="2"/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  <c r="U45" s="2"/>
      <c r="V45" s="2"/>
      <c r="W45" s="2"/>
    </row>
    <row r="46" spans="1:23" x14ac:dyDescent="0.25">
      <c r="A46" s="6" t="s">
        <v>61</v>
      </c>
      <c r="B46" s="6"/>
      <c r="C46" s="6"/>
      <c r="D46" s="6"/>
      <c r="E46" s="7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7"/>
      <c r="U46" s="6"/>
      <c r="V46" s="6"/>
      <c r="W46" s="6"/>
    </row>
    <row r="47" spans="1:23" x14ac:dyDescent="0.25">
      <c r="A47" s="2" t="s">
        <v>62</v>
      </c>
      <c r="B47" s="2"/>
      <c r="C47" s="2"/>
      <c r="D47" s="2"/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3"/>
      <c r="U47" s="2"/>
      <c r="V47" s="2"/>
      <c r="W47" s="2"/>
    </row>
    <row r="48" spans="1:23" x14ac:dyDescent="0.25">
      <c r="A48" s="6" t="s">
        <v>63</v>
      </c>
      <c r="B48" s="6"/>
      <c r="C48" s="6"/>
      <c r="D48" s="6"/>
      <c r="E48" s="7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7"/>
      <c r="U48" s="6"/>
      <c r="V48" s="6"/>
      <c r="W48" s="6"/>
    </row>
    <row r="49" spans="1:23" x14ac:dyDescent="0.25">
      <c r="A49" s="2" t="s">
        <v>64</v>
      </c>
      <c r="B49" s="2"/>
      <c r="C49" s="2"/>
      <c r="D49" s="2"/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"/>
      <c r="U49" s="2"/>
      <c r="V49" s="2"/>
      <c r="W49" s="2"/>
    </row>
    <row r="50" spans="1:23" x14ac:dyDescent="0.25">
      <c r="A50" s="6" t="s">
        <v>65</v>
      </c>
      <c r="B50" s="6"/>
      <c r="C50" s="6"/>
      <c r="D50" s="6"/>
      <c r="E50" s="7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  <c r="U50" s="6"/>
      <c r="V50" s="6"/>
      <c r="W50" s="6"/>
    </row>
    <row r="51" spans="1:23" x14ac:dyDescent="0.25">
      <c r="A51" s="2" t="s">
        <v>66</v>
      </c>
      <c r="B51" s="2"/>
      <c r="C51" s="2"/>
      <c r="D51" s="2"/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3"/>
      <c r="U51" s="2"/>
      <c r="V51" s="2"/>
      <c r="W51" s="2"/>
    </row>
    <row r="52" spans="1:23" x14ac:dyDescent="0.25">
      <c r="A52" s="6" t="s">
        <v>67</v>
      </c>
      <c r="B52" s="6"/>
      <c r="C52" s="6"/>
      <c r="D52" s="6"/>
      <c r="E52" s="7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7"/>
      <c r="U52" s="6"/>
      <c r="V52" s="6"/>
      <c r="W52" s="6"/>
    </row>
    <row r="53" spans="1:23" x14ac:dyDescent="0.25">
      <c r="A53" s="2" t="s">
        <v>68</v>
      </c>
      <c r="B53" s="2"/>
      <c r="C53" s="2"/>
      <c r="D53" s="2"/>
      <c r="E53" s="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3"/>
      <c r="U53" s="2"/>
      <c r="V53" s="2"/>
      <c r="W53" s="2"/>
    </row>
    <row r="54" spans="1:23" x14ac:dyDescent="0.25">
      <c r="A54" s="6" t="s">
        <v>69</v>
      </c>
      <c r="B54" s="6"/>
      <c r="C54" s="6"/>
      <c r="D54" s="6"/>
      <c r="E54" s="7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7"/>
      <c r="U54" s="6"/>
      <c r="V54" s="6"/>
      <c r="W54" s="6"/>
    </row>
    <row r="55" spans="1:23" x14ac:dyDescent="0.25">
      <c r="A55" s="2" t="s">
        <v>70</v>
      </c>
      <c r="B55" s="2"/>
      <c r="C55" s="2"/>
      <c r="D55" s="2"/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3"/>
      <c r="U55" s="2"/>
      <c r="V55" s="2"/>
      <c r="W55" s="2"/>
    </row>
    <row r="56" spans="1:23" x14ac:dyDescent="0.25">
      <c r="A56" s="6" t="s">
        <v>71</v>
      </c>
      <c r="B56" s="6"/>
      <c r="C56" s="6"/>
      <c r="D56" s="6"/>
      <c r="E56" s="7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7"/>
      <c r="U56" s="6"/>
      <c r="V56" s="6"/>
      <c r="W56" s="6"/>
    </row>
    <row r="57" spans="1:23" x14ac:dyDescent="0.25">
      <c r="A57" s="2" t="s">
        <v>72</v>
      </c>
      <c r="B57" s="2"/>
      <c r="C57" s="2"/>
      <c r="D57" s="2"/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3"/>
      <c r="U57" s="2"/>
      <c r="V57" s="2"/>
      <c r="W57" s="2"/>
    </row>
    <row r="58" spans="1:23" x14ac:dyDescent="0.25">
      <c r="A58" s="6" t="s">
        <v>73</v>
      </c>
      <c r="B58" s="6"/>
      <c r="C58" s="6"/>
      <c r="D58" s="6"/>
      <c r="E58" s="7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7"/>
      <c r="U58" s="6"/>
      <c r="V58" s="6"/>
      <c r="W58" s="6"/>
    </row>
    <row r="59" spans="1:23" x14ac:dyDescent="0.25">
      <c r="A59" s="2" t="s">
        <v>74</v>
      </c>
      <c r="B59" s="2"/>
      <c r="C59" s="2"/>
      <c r="D59" s="2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3"/>
      <c r="U59" s="2"/>
      <c r="V59" s="2"/>
      <c r="W59" s="2"/>
    </row>
    <row r="60" spans="1:23" x14ac:dyDescent="0.25">
      <c r="A60" s="6" t="s">
        <v>75</v>
      </c>
      <c r="B60" s="6"/>
      <c r="C60" s="6"/>
      <c r="D60" s="6"/>
      <c r="E60" s="7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7"/>
      <c r="U60" s="6"/>
      <c r="V60" s="6"/>
      <c r="W60" s="6"/>
    </row>
    <row r="61" spans="1:23" x14ac:dyDescent="0.25">
      <c r="A61" s="2" t="s">
        <v>76</v>
      </c>
      <c r="B61" s="2"/>
      <c r="C61" s="2"/>
      <c r="D61" s="2"/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3"/>
      <c r="U61" s="2"/>
      <c r="V61" s="2"/>
      <c r="W61" s="2"/>
    </row>
    <row r="62" spans="1:23" x14ac:dyDescent="0.25">
      <c r="A62" s="6" t="s">
        <v>77</v>
      </c>
      <c r="B62" s="6"/>
      <c r="C62" s="6"/>
      <c r="D62" s="6"/>
      <c r="E62" s="7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7"/>
      <c r="U62" s="6"/>
      <c r="V62" s="6"/>
      <c r="W62" s="6"/>
    </row>
    <row r="63" spans="1:23" x14ac:dyDescent="0.25">
      <c r="A63" s="2" t="s">
        <v>78</v>
      </c>
      <c r="B63" s="2"/>
      <c r="C63" s="2"/>
      <c r="D63" s="2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3"/>
      <c r="U63" s="2"/>
      <c r="V63" s="2"/>
      <c r="W63" s="2"/>
    </row>
    <row r="64" spans="1:23" x14ac:dyDescent="0.25">
      <c r="A64" s="6" t="s">
        <v>79</v>
      </c>
      <c r="B64" s="6"/>
      <c r="C64" s="6"/>
      <c r="D64" s="6"/>
      <c r="E64" s="7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7"/>
      <c r="U64" s="6"/>
      <c r="V64" s="6"/>
      <c r="W64" s="6"/>
    </row>
    <row r="65" spans="1:23" x14ac:dyDescent="0.25">
      <c r="A65" s="2" t="s">
        <v>80</v>
      </c>
      <c r="B65" s="2"/>
      <c r="C65" s="2"/>
      <c r="D65" s="2"/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3"/>
      <c r="U65" s="2"/>
      <c r="V65" s="2"/>
      <c r="W65" s="2"/>
    </row>
    <row r="66" spans="1:23" x14ac:dyDescent="0.25">
      <c r="A66" s="6" t="s">
        <v>81</v>
      </c>
      <c r="B66" s="6"/>
      <c r="C66" s="6"/>
      <c r="D66" s="6"/>
      <c r="E66" s="7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7"/>
      <c r="U66" s="6"/>
      <c r="V66" s="6"/>
      <c r="W66" s="6"/>
    </row>
    <row r="67" spans="1:23" x14ac:dyDescent="0.25">
      <c r="A67" s="2" t="s">
        <v>82</v>
      </c>
      <c r="B67" s="2"/>
      <c r="C67" s="2"/>
      <c r="D67" s="2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3"/>
      <c r="U67" s="2"/>
      <c r="V67" s="2"/>
      <c r="W67" s="2"/>
    </row>
    <row r="68" spans="1:23" x14ac:dyDescent="0.25">
      <c r="A68" s="6" t="s">
        <v>83</v>
      </c>
      <c r="B68" s="6"/>
      <c r="C68" s="6"/>
      <c r="D68" s="6"/>
      <c r="E68" s="7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7"/>
      <c r="U68" s="6"/>
      <c r="V68" s="6"/>
      <c r="W68" s="6"/>
    </row>
    <row r="69" spans="1:23" x14ac:dyDescent="0.25">
      <c r="A69" s="2" t="s">
        <v>84</v>
      </c>
      <c r="B69" s="2"/>
      <c r="C69" s="2"/>
      <c r="D69" s="2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3"/>
      <c r="U69" s="2"/>
      <c r="V69" s="2"/>
      <c r="W69" s="2"/>
    </row>
    <row r="70" spans="1:23" x14ac:dyDescent="0.25">
      <c r="A70" s="6" t="s">
        <v>85</v>
      </c>
      <c r="B70" s="6"/>
      <c r="C70" s="6"/>
      <c r="D70" s="6"/>
      <c r="E70" s="7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7"/>
      <c r="U70" s="6"/>
      <c r="V70" s="6"/>
      <c r="W70" s="6"/>
    </row>
    <row r="71" spans="1:23" x14ac:dyDescent="0.25">
      <c r="A71" s="2" t="s">
        <v>86</v>
      </c>
      <c r="B71" s="2"/>
      <c r="C71" s="2"/>
      <c r="D71" s="2"/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3"/>
      <c r="U71" s="2"/>
      <c r="V71" s="2"/>
      <c r="W71" s="2"/>
    </row>
    <row r="72" spans="1:23" x14ac:dyDescent="0.25">
      <c r="A72" s="6" t="s">
        <v>87</v>
      </c>
      <c r="B72" s="6"/>
      <c r="C72" s="6"/>
      <c r="D72" s="6"/>
      <c r="E72" s="7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7"/>
      <c r="U72" s="6"/>
      <c r="V72" s="6"/>
      <c r="W72" s="6"/>
    </row>
    <row r="73" spans="1:23" x14ac:dyDescent="0.25">
      <c r="A73" s="2" t="s">
        <v>88</v>
      </c>
      <c r="B73" s="2"/>
      <c r="C73" s="2"/>
      <c r="D73" s="2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3"/>
      <c r="U73" s="2"/>
      <c r="V73" s="2"/>
      <c r="W73" s="2"/>
    </row>
    <row r="74" spans="1:23" x14ac:dyDescent="0.25">
      <c r="A74" s="6" t="s">
        <v>89</v>
      </c>
      <c r="B74" s="6"/>
      <c r="C74" s="6"/>
      <c r="D74" s="6"/>
      <c r="E74" s="7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7"/>
      <c r="U74" s="6"/>
      <c r="V74" s="6"/>
      <c r="W74" s="6"/>
    </row>
    <row r="75" spans="1:23" x14ac:dyDescent="0.25">
      <c r="A75" s="2" t="s">
        <v>90</v>
      </c>
      <c r="B75" s="2"/>
      <c r="C75" s="2"/>
      <c r="D75" s="2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3"/>
      <c r="U75" s="2"/>
      <c r="V75" s="2"/>
      <c r="W75" s="2"/>
    </row>
    <row r="76" spans="1:23" x14ac:dyDescent="0.25">
      <c r="A76" s="6" t="s">
        <v>91</v>
      </c>
      <c r="B76" s="6"/>
      <c r="C76" s="6"/>
      <c r="D76" s="6"/>
      <c r="E76" s="7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7"/>
      <c r="U76" s="6"/>
      <c r="V76" s="6"/>
      <c r="W76" s="6"/>
    </row>
    <row r="77" spans="1:23" x14ac:dyDescent="0.25">
      <c r="A77" s="2" t="s">
        <v>92</v>
      </c>
      <c r="B77" s="2"/>
      <c r="C77" s="2"/>
      <c r="D77" s="2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3"/>
      <c r="U77" s="2"/>
      <c r="V77" s="2"/>
      <c r="W77" s="2"/>
    </row>
    <row r="78" spans="1:23" x14ac:dyDescent="0.25">
      <c r="A78" s="6" t="s">
        <v>93</v>
      </c>
      <c r="B78" s="6"/>
      <c r="C78" s="6"/>
      <c r="D78" s="6"/>
      <c r="E78" s="7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7"/>
      <c r="U78" s="6"/>
      <c r="V78" s="6"/>
      <c r="W78" s="6"/>
    </row>
    <row r="79" spans="1:23" x14ac:dyDescent="0.25">
      <c r="A79" s="2" t="s">
        <v>94</v>
      </c>
      <c r="B79" s="2"/>
      <c r="C79" s="2"/>
      <c r="D79" s="2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3"/>
      <c r="U79" s="2"/>
      <c r="V79" s="2"/>
      <c r="W79" s="2"/>
    </row>
    <row r="80" spans="1:23" x14ac:dyDescent="0.25">
      <c r="A80" s="6" t="s">
        <v>95</v>
      </c>
      <c r="B80" s="6"/>
      <c r="C80" s="6"/>
      <c r="D80" s="6"/>
      <c r="E80" s="7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7"/>
      <c r="U80" s="6"/>
      <c r="V80" s="6"/>
      <c r="W80" s="6"/>
    </row>
    <row r="81" spans="1:23" x14ac:dyDescent="0.25">
      <c r="A81" s="2" t="s">
        <v>96</v>
      </c>
      <c r="B81" s="2"/>
      <c r="C81" s="2"/>
      <c r="D81" s="2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3"/>
      <c r="U81" s="2"/>
      <c r="V81" s="2"/>
      <c r="W81" s="2"/>
    </row>
    <row r="82" spans="1:23" x14ac:dyDescent="0.25">
      <c r="A82" s="6" t="s">
        <v>97</v>
      </c>
      <c r="B82" s="6"/>
      <c r="C82" s="6"/>
      <c r="D82" s="6"/>
      <c r="E82" s="7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7"/>
      <c r="U82" s="6"/>
      <c r="V82" s="6"/>
      <c r="W82" s="6"/>
    </row>
    <row r="83" spans="1:23" x14ac:dyDescent="0.25">
      <c r="A83" s="2" t="s">
        <v>98</v>
      </c>
      <c r="B83" s="2"/>
      <c r="C83" s="2"/>
      <c r="D83" s="2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3"/>
      <c r="U83" s="2"/>
      <c r="V83" s="2"/>
      <c r="W83" s="2"/>
    </row>
    <row r="84" spans="1:23" x14ac:dyDescent="0.25">
      <c r="A84" s="6" t="s">
        <v>99</v>
      </c>
      <c r="B84" s="6"/>
      <c r="C84" s="6"/>
      <c r="D84" s="6"/>
      <c r="E84" s="7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7"/>
      <c r="U84" s="6"/>
      <c r="V84" s="6"/>
      <c r="W84" s="6"/>
    </row>
    <row r="85" spans="1:23" x14ac:dyDescent="0.25">
      <c r="A85" s="2" t="s">
        <v>100</v>
      </c>
      <c r="B85" s="2"/>
      <c r="C85" s="2"/>
      <c r="D85" s="2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3"/>
      <c r="U85" s="2"/>
      <c r="V85" s="2"/>
      <c r="W85" s="2"/>
    </row>
    <row r="86" spans="1:23" x14ac:dyDescent="0.25">
      <c r="A86" s="6" t="s">
        <v>101</v>
      </c>
      <c r="B86" s="6"/>
      <c r="C86" s="6"/>
      <c r="D86" s="6"/>
      <c r="E86" s="7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7"/>
      <c r="U86" s="6"/>
      <c r="V86" s="6"/>
      <c r="W86" s="6"/>
    </row>
    <row r="87" spans="1:23" x14ac:dyDescent="0.25">
      <c r="A87" s="2" t="s">
        <v>102</v>
      </c>
      <c r="B87" s="2"/>
      <c r="C87" s="2"/>
      <c r="D87" s="2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3"/>
      <c r="U87" s="2"/>
      <c r="V87" s="2"/>
      <c r="W87" s="2"/>
    </row>
    <row r="88" spans="1:23" x14ac:dyDescent="0.25">
      <c r="A88" s="6" t="s">
        <v>103</v>
      </c>
      <c r="B88" s="6"/>
      <c r="C88" s="6"/>
      <c r="D88" s="6"/>
      <c r="E88" s="7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7"/>
      <c r="U88" s="6"/>
      <c r="V88" s="6"/>
      <c r="W88" s="6"/>
    </row>
    <row r="89" spans="1:23" x14ac:dyDescent="0.25">
      <c r="A89" s="2" t="s">
        <v>104</v>
      </c>
      <c r="B89" s="2"/>
      <c r="C89" s="2"/>
      <c r="D89" s="2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3"/>
      <c r="U89" s="2"/>
      <c r="V89" s="2"/>
      <c r="W89" s="2"/>
    </row>
    <row r="90" spans="1:23" x14ac:dyDescent="0.25">
      <c r="A90" s="6" t="s">
        <v>105</v>
      </c>
      <c r="B90" s="6"/>
      <c r="C90" s="6"/>
      <c r="D90" s="6"/>
      <c r="E90" s="7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7"/>
      <c r="U90" s="6"/>
      <c r="V90" s="6"/>
      <c r="W90" s="6"/>
    </row>
    <row r="91" spans="1:23" x14ac:dyDescent="0.25">
      <c r="A91" s="2" t="s">
        <v>106</v>
      </c>
      <c r="B91" s="2"/>
      <c r="C91" s="2"/>
      <c r="D91" s="2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3"/>
      <c r="U91" s="2"/>
      <c r="V91" s="2"/>
      <c r="W91" s="2"/>
    </row>
    <row r="92" spans="1:23" x14ac:dyDescent="0.25">
      <c r="A92" s="6" t="s">
        <v>107</v>
      </c>
      <c r="B92" s="6"/>
      <c r="C92" s="6"/>
      <c r="D92" s="6"/>
      <c r="E92" s="7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7"/>
      <c r="U92" s="6"/>
      <c r="V92" s="6"/>
      <c r="W92" s="6"/>
    </row>
    <row r="93" spans="1:23" x14ac:dyDescent="0.25">
      <c r="A93" s="2" t="s">
        <v>108</v>
      </c>
      <c r="B93" s="2"/>
      <c r="C93" s="2"/>
      <c r="D93" s="2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3"/>
      <c r="U93" s="2"/>
      <c r="V93" s="2"/>
      <c r="W93" s="2"/>
    </row>
    <row r="94" spans="1:23" x14ac:dyDescent="0.25">
      <c r="A94" s="6" t="s">
        <v>109</v>
      </c>
      <c r="B94" s="6"/>
      <c r="C94" s="6"/>
      <c r="D94" s="6"/>
      <c r="E94" s="7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7"/>
      <c r="U94" s="6"/>
      <c r="V94" s="6"/>
      <c r="W94" s="6"/>
    </row>
    <row r="95" spans="1:23" x14ac:dyDescent="0.25">
      <c r="A95" s="2" t="s">
        <v>110</v>
      </c>
      <c r="B95" s="2"/>
      <c r="C95" s="2"/>
      <c r="D95" s="2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3"/>
      <c r="U95" s="2"/>
      <c r="V95" s="2"/>
      <c r="W95" s="2"/>
    </row>
    <row r="96" spans="1:23" x14ac:dyDescent="0.25">
      <c r="A96" s="6" t="s">
        <v>111</v>
      </c>
      <c r="B96" s="6"/>
      <c r="C96" s="6"/>
      <c r="D96" s="6"/>
      <c r="E96" s="7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7"/>
      <c r="U96" s="6"/>
      <c r="V96" s="6"/>
      <c r="W96" s="6"/>
    </row>
    <row r="97" spans="1:23" x14ac:dyDescent="0.25">
      <c r="A97" s="2" t="s">
        <v>112</v>
      </c>
      <c r="B97" s="2"/>
      <c r="C97" s="2"/>
      <c r="D97" s="2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3"/>
      <c r="U97" s="2"/>
      <c r="V97" s="2"/>
      <c r="W97" s="2"/>
    </row>
    <row r="98" spans="1:23" x14ac:dyDescent="0.25">
      <c r="A98" s="6" t="s">
        <v>113</v>
      </c>
      <c r="B98" s="6"/>
      <c r="C98" s="6"/>
      <c r="D98" s="6"/>
      <c r="E98" s="7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7"/>
      <c r="U98" s="6"/>
      <c r="V98" s="6"/>
      <c r="W98" s="6"/>
    </row>
    <row r="99" spans="1:23" x14ac:dyDescent="0.25">
      <c r="A99" s="2" t="s">
        <v>120</v>
      </c>
      <c r="B99" s="2"/>
      <c r="C99" s="2"/>
      <c r="D99" s="2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3"/>
      <c r="U99" s="2"/>
      <c r="V99" s="2"/>
      <c r="W99" s="2"/>
    </row>
    <row r="100" spans="1:23" x14ac:dyDescent="0.25">
      <c r="A100" s="6" t="s">
        <v>121</v>
      </c>
      <c r="B100" s="6"/>
      <c r="C100" s="6"/>
      <c r="D100" s="6"/>
      <c r="E100" s="7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7"/>
      <c r="U100" s="6"/>
      <c r="V100" s="6"/>
      <c r="W100" s="6"/>
    </row>
    <row r="101" spans="1:23" x14ac:dyDescent="0.25">
      <c r="A101" s="2" t="s">
        <v>122</v>
      </c>
      <c r="B101" s="2"/>
      <c r="C101" s="2"/>
      <c r="D101" s="2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3"/>
      <c r="U101" s="2"/>
      <c r="V101" s="2"/>
      <c r="W101" s="2"/>
    </row>
    <row r="102" spans="1:23" x14ac:dyDescent="0.25">
      <c r="A102" s="6" t="s">
        <v>123</v>
      </c>
      <c r="B102" s="6"/>
      <c r="C102" s="6"/>
      <c r="D102" s="6"/>
      <c r="E102" s="7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7"/>
      <c r="U102" s="6"/>
      <c r="V102" s="6"/>
      <c r="W102" s="6"/>
    </row>
  </sheetData>
  <sortState xmlns:xlrd2="http://schemas.microsoft.com/office/spreadsheetml/2017/richdata2" ref="A1:W102">
    <sortCondition descending="1" ref="K3:K102"/>
  </sortState>
  <mergeCells count="18">
    <mergeCell ref="A1:A2"/>
    <mergeCell ref="B1:B2"/>
    <mergeCell ref="E1:E2"/>
    <mergeCell ref="T1:U1"/>
    <mergeCell ref="N1:N2"/>
    <mergeCell ref="O1:O2"/>
    <mergeCell ref="P1:P2"/>
    <mergeCell ref="M1:M2"/>
    <mergeCell ref="Q1:Q2"/>
    <mergeCell ref="S1:S2"/>
    <mergeCell ref="L1:L2"/>
    <mergeCell ref="D1:D2"/>
    <mergeCell ref="V1:V2"/>
    <mergeCell ref="W1:W2"/>
    <mergeCell ref="C1:C2"/>
    <mergeCell ref="R1:R2"/>
    <mergeCell ref="F1:H1"/>
    <mergeCell ref="I1:K1"/>
  </mergeCells>
  <phoneticPr fontId="5" type="noConversion"/>
  <conditionalFormatting sqref="L3:L1048576">
    <cfRule type="expression" dxfId="3" priority="1">
      <formula>$K3&lt;=5</formula>
    </cfRule>
    <cfRule type="expression" dxfId="2" priority="2">
      <formula>AND($K3&gt;=6,$K3&lt;=10)</formula>
    </cfRule>
    <cfRule type="expression" dxfId="1" priority="3">
      <formula>AND($K3&gt;=11,$K3&lt;=15)</formula>
    </cfRule>
    <cfRule type="expression" dxfId="0" priority="4">
      <formula>$K3&gt;=16</formula>
    </cfRule>
  </conditionalFormatting>
  <pageMargins left="0.25" right="0.25" top="0.75" bottom="0.75" header="0.3" footer="0.3"/>
  <pageSetup paperSize="6" scale="16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5B08B786-E7FA-41A7-B640-0A3C959D76B8}">
          <x14:formula1>
            <xm:f>'Data Control Sheet'!$A$2:$A$10</xm:f>
          </x14:formula1>
          <xm:sqref>C3:C1048576</xm:sqref>
        </x14:dataValidation>
        <x14:dataValidation type="list" allowBlank="1" showInputMessage="1" showErrorMessage="1" xr:uid="{D912F75D-B861-4AC2-890C-F0A2C2B4D21A}">
          <x14:formula1>
            <xm:f>'Data Control Sheet'!$B$2:$B$7</xm:f>
          </x14:formula1>
          <xm:sqref>D3:D1048576</xm:sqref>
        </x14:dataValidation>
        <x14:dataValidation type="list" allowBlank="1" showInputMessage="1" showErrorMessage="1" xr:uid="{8AEEF168-3547-410F-87F1-A676E2948D34}">
          <x14:formula1>
            <xm:f>'Data Control Sheet'!$C$2:$C$7</xm:f>
          </x14:formula1>
          <xm:sqref>I3:I1048576 F3:F1048576</xm:sqref>
        </x14:dataValidation>
        <x14:dataValidation type="list" allowBlank="1" showInputMessage="1" showErrorMessage="1" xr:uid="{4DF64F87-8226-4514-B3FB-54752EA9DE25}">
          <x14:formula1>
            <xm:f>'Data Control Sheet'!$D$2:$D$7</xm:f>
          </x14:formula1>
          <xm:sqref>G3:G1048576 J3:J1048576</xm:sqref>
        </x14:dataValidation>
        <x14:dataValidation type="list" allowBlank="1" showInputMessage="1" showErrorMessage="1" xr:uid="{BA8ABFB5-2FF3-4FDC-985F-0F63815CA6CB}">
          <x14:formula1>
            <xm:f>'Data Control Sheet'!$E$2:$E$6</xm:f>
          </x14:formula1>
          <xm:sqref>R3:R1048576</xm:sqref>
        </x14:dataValidation>
        <x14:dataValidation type="list" allowBlank="1" showInputMessage="1" showErrorMessage="1" xr:uid="{FD09B2C9-D367-448D-A869-BBC1AAFBB84F}">
          <x14:formula1>
            <xm:f>'Data Control Sheet'!$F$2:$F$7</xm:f>
          </x14:formula1>
          <xm:sqref>V3:V1048576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B493D-4B21-4FF3-B890-371CED22064B}">
  <dimension ref="A1:F9"/>
  <sheetViews>
    <sheetView workbookViewId="0">
      <selection activeCell="D7" sqref="D7"/>
    </sheetView>
  </sheetViews>
  <sheetFormatPr defaultRowHeight="15" x14ac:dyDescent="0.25"/>
  <cols>
    <col min="1" max="1" width="13.28515625" style="1" bestFit="1" customWidth="1"/>
    <col min="2" max="2" width="23.85546875" style="1" bestFit="1" customWidth="1"/>
    <col min="3" max="3" width="16.140625" style="1" bestFit="1" customWidth="1"/>
    <col min="4" max="4" width="16.140625" style="1" customWidth="1"/>
    <col min="5" max="5" width="12.85546875" style="1" bestFit="1" customWidth="1"/>
    <col min="6" max="6" width="10.85546875" style="1" bestFit="1" customWidth="1"/>
    <col min="7" max="16384" width="9.140625" style="1"/>
  </cols>
  <sheetData>
    <row r="1" spans="1:6" s="19" customFormat="1" x14ac:dyDescent="0.25">
      <c r="A1" s="19" t="s">
        <v>157</v>
      </c>
      <c r="B1" s="19" t="s">
        <v>13</v>
      </c>
      <c r="C1" s="19" t="s">
        <v>166</v>
      </c>
      <c r="D1" s="19" t="s">
        <v>167</v>
      </c>
      <c r="E1" s="19" t="s">
        <v>119</v>
      </c>
      <c r="F1" s="19" t="s">
        <v>116</v>
      </c>
    </row>
    <row r="2" spans="1:6" x14ac:dyDescent="0.25">
      <c r="A2" t="s">
        <v>136</v>
      </c>
      <c r="B2" t="s">
        <v>139</v>
      </c>
      <c r="C2" s="20">
        <v>1</v>
      </c>
      <c r="D2">
        <v>1</v>
      </c>
      <c r="E2" t="s">
        <v>155</v>
      </c>
      <c r="F2" t="s">
        <v>156</v>
      </c>
    </row>
    <row r="3" spans="1:6" x14ac:dyDescent="0.25">
      <c r="A3" t="s">
        <v>138</v>
      </c>
      <c r="B3" t="s">
        <v>163</v>
      </c>
      <c r="C3" s="20">
        <v>2</v>
      </c>
      <c r="D3">
        <v>2</v>
      </c>
      <c r="E3" t="s">
        <v>168</v>
      </c>
      <c r="F3" t="s">
        <v>171</v>
      </c>
    </row>
    <row r="4" spans="1:6" x14ac:dyDescent="0.25">
      <c r="A4" t="s">
        <v>137</v>
      </c>
      <c r="B4" t="s">
        <v>164</v>
      </c>
      <c r="C4" s="20">
        <v>3</v>
      </c>
      <c r="D4">
        <v>3</v>
      </c>
      <c r="E4" t="s">
        <v>169</v>
      </c>
      <c r="F4" t="s">
        <v>172</v>
      </c>
    </row>
    <row r="5" spans="1:6" x14ac:dyDescent="0.25">
      <c r="A5" t="s">
        <v>158</v>
      </c>
      <c r="B5" t="s">
        <v>165</v>
      </c>
      <c r="C5" s="20">
        <v>4</v>
      </c>
      <c r="D5">
        <v>4</v>
      </c>
      <c r="E5" t="s">
        <v>170</v>
      </c>
      <c r="F5" t="s">
        <v>173</v>
      </c>
    </row>
    <row r="6" spans="1:6" x14ac:dyDescent="0.25">
      <c r="A6" t="s">
        <v>159</v>
      </c>
      <c r="B6" t="s">
        <v>140</v>
      </c>
      <c r="C6" s="20">
        <v>5</v>
      </c>
      <c r="D6">
        <v>5</v>
      </c>
      <c r="E6"/>
      <c r="F6" t="s">
        <v>174</v>
      </c>
    </row>
    <row r="7" spans="1:6" x14ac:dyDescent="0.25">
      <c r="A7" t="s">
        <v>160</v>
      </c>
    </row>
    <row r="8" spans="1:6" x14ac:dyDescent="0.25">
      <c r="A8" t="s">
        <v>161</v>
      </c>
    </row>
    <row r="9" spans="1:6" x14ac:dyDescent="0.25">
      <c r="A9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Operational Risk Register</vt:lpstr>
      <vt:lpstr>Data Control Sheet</vt:lpstr>
      <vt:lpstr>'Operational Risk Register'!Print_Area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Salmon</dc:creator>
  <cp:lastModifiedBy>Barry Salmon</cp:lastModifiedBy>
  <cp:lastPrinted>2026-03-08T21:18:51Z</cp:lastPrinted>
  <dcterms:created xsi:type="dcterms:W3CDTF">2026-02-21T18:45:41Z</dcterms:created>
  <dcterms:modified xsi:type="dcterms:W3CDTF">2026-04-01T15:00:41Z</dcterms:modified>
</cp:coreProperties>
</file>