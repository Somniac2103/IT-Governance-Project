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almo\Desktop\Tech\03 Projects\Enterprise Network Lab\03 Governance\"/>
    </mc:Choice>
  </mc:AlternateContent>
  <xr:revisionPtr revIDLastSave="0" documentId="13_ncr:1_{F1059A75-F826-4CA2-8391-2F427C6A1B89}" xr6:coauthVersionLast="47" xr6:coauthVersionMax="47" xr10:uidLastSave="{00000000-0000-0000-0000-000000000000}"/>
  <bookViews>
    <workbookView xWindow="28680" yWindow="-75" windowWidth="29040" windowHeight="15720" xr2:uid="{EE207035-1F51-4DCC-B353-2E8B956805B3}"/>
  </bookViews>
  <sheets>
    <sheet name="Operational Risk Register" sheetId="1" r:id="rId1"/>
    <sheet name="Data Control Sheet" sheetId="2" r:id="rId2"/>
  </sheets>
  <definedNames>
    <definedName name="_xlnm.Print_Area" localSheetId="0">'Operational Risk Register'!$A$1:$W$14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K4" i="1"/>
  <c r="K10" i="1"/>
  <c r="K16" i="1"/>
  <c r="K11" i="1"/>
  <c r="H10" i="1"/>
  <c r="H16" i="1"/>
  <c r="H11" i="1"/>
  <c r="H4" i="1"/>
  <c r="H3" i="1"/>
  <c r="K6" i="1"/>
  <c r="K19" i="1"/>
  <c r="K13" i="1"/>
  <c r="K14" i="1"/>
  <c r="K7" i="1"/>
  <c r="K8" i="1"/>
  <c r="K17" i="1"/>
  <c r="K12" i="1"/>
  <c r="K18" i="1"/>
  <c r="K9" i="1"/>
  <c r="K15" i="1"/>
  <c r="K5" i="1"/>
  <c r="H6" i="1"/>
  <c r="H19" i="1"/>
  <c r="H13" i="1"/>
  <c r="H14" i="1"/>
  <c r="H7" i="1"/>
  <c r="H8" i="1"/>
  <c r="H17" i="1"/>
  <c r="H12" i="1"/>
  <c r="H18" i="1"/>
  <c r="H9" i="1"/>
  <c r="H15" i="1"/>
  <c r="H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Barry Salmon</author>
  </authors>
  <commentList>
    <comment ref="A1" authorId="0" shapeId="0" xr:uid="{1EE4FF2D-E37E-4AAB-B920-6E73EBDE3E08}">
      <text>
        <r>
          <rPr>
            <sz val="11"/>
            <color indexed="81"/>
            <rFont val="Tahoma"/>
            <family val="2"/>
          </rPr>
          <t>Risk ID is a unique identifier for each risk to enable clarity and tracebility</t>
        </r>
        <r>
          <rPr>
            <b/>
            <sz val="9"/>
            <color indexed="81"/>
            <rFont val="Tahoma"/>
            <family val="2"/>
          </rPr>
          <t xml:space="preserve">
</t>
        </r>
      </text>
    </comment>
    <comment ref="B1" authorId="0" shapeId="0" xr:uid="{82E7F419-D901-4029-B14A-AC811A105A2A}">
      <text>
        <r>
          <rPr>
            <sz val="11"/>
            <color indexed="81"/>
            <rFont val="Tahoma"/>
            <family val="2"/>
          </rPr>
          <t xml:space="preserve">Risk title is a easy to use name for commo usage
</t>
        </r>
      </text>
    </comment>
    <comment ref="C1" authorId="0" shapeId="0" xr:uid="{894B8C2F-0CDF-4165-B109-8B2502B74096}">
      <text>
        <r>
          <rPr>
            <sz val="9"/>
            <color indexed="81"/>
            <rFont val="Tahoma"/>
            <family val="2"/>
          </rPr>
          <t xml:space="preserve">
</t>
        </r>
      </text>
    </comment>
    <comment ref="D1" authorId="0" shapeId="0" xr:uid="{F84AA5E6-CBD3-4BFE-B4CD-C0D4F014FB4F}">
      <text>
        <r>
          <rPr>
            <sz val="9"/>
            <color indexed="81"/>
            <rFont val="Tahoma"/>
            <family val="2"/>
          </rPr>
          <t xml:space="preserve">
</t>
        </r>
      </text>
    </comment>
    <comment ref="E1" authorId="0" shapeId="0" xr:uid="{FA562D7A-ACF2-4B9D-BDC5-DE7E829A55C1}">
      <text>
        <r>
          <rPr>
            <sz val="11"/>
            <color indexed="81"/>
            <rFont val="Tahoma"/>
            <family val="2"/>
          </rPr>
          <t>Category refers to the business impact if this risk is realised</t>
        </r>
        <r>
          <rPr>
            <sz val="9"/>
            <color indexed="81"/>
            <rFont val="Tahoma"/>
            <family val="2"/>
          </rPr>
          <t xml:space="preserve">
</t>
        </r>
      </text>
    </comment>
    <comment ref="F1" authorId="0" shapeId="0" xr:uid="{536066BA-66C5-4BB5-B87E-0C1ED9990EF2}">
      <text>
        <r>
          <rPr>
            <sz val="11"/>
            <color indexed="81"/>
            <rFont val="Tahoma"/>
            <family val="2"/>
          </rPr>
          <t xml:space="preserve">Base Risk Assessment is the calulation of the inherit risk if this risk without mitigating actions
</t>
        </r>
      </text>
    </comment>
    <comment ref="I1" authorId="0" shapeId="0" xr:uid="{FF04C8B2-CEB8-4C07-9131-149352EA4D68}">
      <text>
        <r>
          <rPr>
            <sz val="11"/>
            <color indexed="81"/>
            <rFont val="Tahoma"/>
            <family val="2"/>
          </rPr>
          <t xml:space="preserve">Base Risk Assessment is the calulation of the mitigated risk if this risk with mitigating actions
</t>
        </r>
      </text>
    </comment>
    <comment ref="L1" authorId="0" shapeId="0" xr:uid="{FFD960CC-E643-4822-BEFB-1BFCBCE88D29}">
      <text>
        <r>
          <rPr>
            <sz val="11"/>
            <color indexed="81"/>
            <rFont val="Tahoma"/>
            <family val="2"/>
          </rPr>
          <t>Risk Category is a level of danger this risk has to busines surival</t>
        </r>
      </text>
    </comment>
    <comment ref="M1" authorId="0" shapeId="0" xr:uid="{A0123C8F-F251-456A-A93C-0AD4E8E8F6E3}">
      <text>
        <r>
          <rPr>
            <sz val="11"/>
            <color indexed="81"/>
            <rFont val="Tahoma"/>
            <family val="2"/>
          </rPr>
          <t>Priority is the seqeunce which executive staff want to be address</t>
        </r>
      </text>
    </comment>
    <comment ref="N1" authorId="0" shapeId="0" xr:uid="{A20496E7-FBC3-4AAB-8F3A-BD82ED9212E5}">
      <text>
        <r>
          <rPr>
            <sz val="11"/>
            <color indexed="81"/>
            <rFont val="Tahoma"/>
            <family val="2"/>
          </rPr>
          <t>Mitigating Actions are all the actions implemented to reduce the risk.</t>
        </r>
        <r>
          <rPr>
            <sz val="9"/>
            <color indexed="81"/>
            <rFont val="Tahoma"/>
            <family val="2"/>
          </rPr>
          <t xml:space="preserve">
</t>
        </r>
      </text>
    </comment>
    <comment ref="O1" authorId="0" shapeId="0" xr:uid="{0A4E893F-E134-4259-A5CA-F74087854CDE}">
      <text>
        <r>
          <rPr>
            <sz val="11"/>
            <color indexed="81"/>
            <rFont val="Tahoma"/>
            <family val="2"/>
          </rPr>
          <t>The Current Plan of Action is the plan to be executed if the risk is materialise at this moment.</t>
        </r>
      </text>
    </comment>
    <comment ref="P1" authorId="0" shapeId="0" xr:uid="{C8A6648C-494A-4828-BF9A-7B22CEE4ADCE}">
      <text>
        <r>
          <rPr>
            <sz val="11"/>
            <color indexed="81"/>
            <rFont val="Tahoma"/>
            <family val="2"/>
          </rPr>
          <t>The limited goal is the risk action plan to be achieved within local authority of risk</t>
        </r>
      </text>
    </comment>
    <comment ref="Q1" authorId="0" shapeId="0" xr:uid="{FA060462-F6A8-49E1-B613-E60D90C8BEEA}">
      <text>
        <r>
          <rPr>
            <sz val="11"/>
            <color indexed="81"/>
            <rFont val="Tahoma"/>
            <family val="2"/>
          </rPr>
          <t>The Executive Goal the risk action plan to be achieve with company's authority</t>
        </r>
      </text>
    </comment>
    <comment ref="R1" authorId="0" shapeId="0" xr:uid="{3386384D-AD9A-46BF-9C63-D524347AB44C}">
      <text>
        <r>
          <rPr>
            <sz val="11"/>
            <color indexed="81"/>
            <rFont val="Tahoma"/>
            <family val="2"/>
          </rPr>
          <t>The Executive Goal the risk action plan to be achieve with company's authority</t>
        </r>
      </text>
    </comment>
    <comment ref="S1" authorId="0" shapeId="0" xr:uid="{17036242-BA5B-4FE0-89DD-12E8F9501D56}">
      <text>
        <r>
          <rPr>
            <sz val="11"/>
            <color indexed="81"/>
            <rFont val="Tahoma"/>
            <family val="2"/>
          </rPr>
          <t>The Risk Owner is the custodian of the risk and responsible to ensure risk mitigation and improvement is pursued</t>
        </r>
      </text>
    </comment>
    <comment ref="T1" authorId="0" shapeId="0" xr:uid="{78F6F1D8-B624-4E0A-B2D5-822807DC617A}">
      <text>
        <r>
          <rPr>
            <sz val="11"/>
            <color indexed="81"/>
            <rFont val="Tahoma"/>
            <family val="2"/>
          </rPr>
          <t>The Current Action plan is the what is administratively done with target dat of those actions to achieve risk mitigation goals.</t>
        </r>
      </text>
    </comment>
  </commentList>
</comments>
</file>

<file path=xl/sharedStrings.xml><?xml version="1.0" encoding="utf-8"?>
<sst xmlns="http://schemas.openxmlformats.org/spreadsheetml/2006/main" count="286" uniqueCount="216">
  <si>
    <t>Risk Title</t>
  </si>
  <si>
    <t>Likelihood</t>
  </si>
  <si>
    <t>Impact</t>
  </si>
  <si>
    <t>Score</t>
  </si>
  <si>
    <t xml:space="preserve">Impact </t>
  </si>
  <si>
    <t>Risk Category</t>
  </si>
  <si>
    <t>Mitigating Actions</t>
  </si>
  <si>
    <t>Current PoA</t>
  </si>
  <si>
    <t>Executive Goal</t>
  </si>
  <si>
    <t>Priority</t>
  </si>
  <si>
    <t>Risk Owner</t>
  </si>
  <si>
    <t>Current Action</t>
  </si>
  <si>
    <t>Task</t>
  </si>
  <si>
    <t>Business Impact Category</t>
  </si>
  <si>
    <t>Target Date</t>
  </si>
  <si>
    <t>Inherent Risk Assessment</t>
  </si>
  <si>
    <t>Residual Risk Assessment</t>
  </si>
  <si>
    <t>Risk ID</t>
  </si>
  <si>
    <t>R - 001</t>
  </si>
  <si>
    <t>R - 002</t>
  </si>
  <si>
    <t>R - 003</t>
  </si>
  <si>
    <t>R - 004</t>
  </si>
  <si>
    <t>R - 005</t>
  </si>
  <si>
    <t>R - 006</t>
  </si>
  <si>
    <t>R - 007</t>
  </si>
  <si>
    <t>R - 008</t>
  </si>
  <si>
    <t>R - 009</t>
  </si>
  <si>
    <t>R - 010</t>
  </si>
  <si>
    <t>R - 011</t>
  </si>
  <si>
    <t>R - 012</t>
  </si>
  <si>
    <t>R - 013</t>
  </si>
  <si>
    <t>R - 014</t>
  </si>
  <si>
    <t>R - 015</t>
  </si>
  <si>
    <t>R - 016</t>
  </si>
  <si>
    <t>R - 017</t>
  </si>
  <si>
    <t>R - 018</t>
  </si>
  <si>
    <t>R - 019</t>
  </si>
  <si>
    <t>R - 020</t>
  </si>
  <si>
    <t>R - 021</t>
  </si>
  <si>
    <t>R - 022</t>
  </si>
  <si>
    <t>R - 023</t>
  </si>
  <si>
    <t>R - 024</t>
  </si>
  <si>
    <t>R - 025</t>
  </si>
  <si>
    <t>R - 026</t>
  </si>
  <si>
    <t>R - 027</t>
  </si>
  <si>
    <t>R - 028</t>
  </si>
  <si>
    <t>R - 029</t>
  </si>
  <si>
    <t>R - 030</t>
  </si>
  <si>
    <t>R - 031</t>
  </si>
  <si>
    <t>R - 032</t>
  </si>
  <si>
    <t>R - 033</t>
  </si>
  <si>
    <t>R - 034</t>
  </si>
  <si>
    <t>R - 035</t>
  </si>
  <si>
    <t>R - 036</t>
  </si>
  <si>
    <t>R - 037</t>
  </si>
  <si>
    <t>R - 038</t>
  </si>
  <si>
    <t>R - 039</t>
  </si>
  <si>
    <t>R - 040</t>
  </si>
  <si>
    <t>R - 041</t>
  </si>
  <si>
    <t>R - 042</t>
  </si>
  <si>
    <t>R - 043</t>
  </si>
  <si>
    <t>R - 044</t>
  </si>
  <si>
    <t>R - 045</t>
  </si>
  <si>
    <t>R - 046</t>
  </si>
  <si>
    <t>R - 047</t>
  </si>
  <si>
    <t>R - 048</t>
  </si>
  <si>
    <t>R - 049</t>
  </si>
  <si>
    <t>R - 050</t>
  </si>
  <si>
    <t>R - 051</t>
  </si>
  <si>
    <t>R - 052</t>
  </si>
  <si>
    <t>R - 053</t>
  </si>
  <si>
    <t>R - 054</t>
  </si>
  <si>
    <t>R - 055</t>
  </si>
  <si>
    <t>R - 056</t>
  </si>
  <si>
    <t>R - 057</t>
  </si>
  <si>
    <t>R - 058</t>
  </si>
  <si>
    <t>R - 059</t>
  </si>
  <si>
    <t>R - 060</t>
  </si>
  <si>
    <t>R - 061</t>
  </si>
  <si>
    <t>R - 062</t>
  </si>
  <si>
    <t>R - 063</t>
  </si>
  <si>
    <t>R - 064</t>
  </si>
  <si>
    <t>R - 065</t>
  </si>
  <si>
    <t>R - 066</t>
  </si>
  <si>
    <t>R - 067</t>
  </si>
  <si>
    <t>R - 068</t>
  </si>
  <si>
    <t>R - 069</t>
  </si>
  <si>
    <t>R - 070</t>
  </si>
  <si>
    <t>R - 071</t>
  </si>
  <si>
    <t>R - 072</t>
  </si>
  <si>
    <t>R - 073</t>
  </si>
  <si>
    <t>R - 074</t>
  </si>
  <si>
    <t>R - 075</t>
  </si>
  <si>
    <t>R - 076</t>
  </si>
  <si>
    <t>R - 077</t>
  </si>
  <si>
    <t>R - 078</t>
  </si>
  <si>
    <t>R - 079</t>
  </si>
  <si>
    <t>R - 080</t>
  </si>
  <si>
    <t>R - 081</t>
  </si>
  <si>
    <t>R - 082</t>
  </si>
  <si>
    <t>R - 083</t>
  </si>
  <si>
    <t>R - 084</t>
  </si>
  <si>
    <t>R - 085</t>
  </si>
  <si>
    <t>R - 086</t>
  </si>
  <si>
    <t>R - 087</t>
  </si>
  <si>
    <t>R - 088</t>
  </si>
  <si>
    <t>R - 089</t>
  </si>
  <si>
    <t>R - 090</t>
  </si>
  <si>
    <t>R - 091</t>
  </si>
  <si>
    <t>R - 092</t>
  </si>
  <si>
    <t>R - 093</t>
  </si>
  <si>
    <t>R - 094</t>
  </si>
  <si>
    <t>R - 095</t>
  </si>
  <si>
    <t>R - 096</t>
  </si>
  <si>
    <t>Risk Description</t>
  </si>
  <si>
    <t>Departmental Objective</t>
  </si>
  <si>
    <t>Risk Status</t>
  </si>
  <si>
    <t>Last Reviewed</t>
  </si>
  <si>
    <t>Risk Domain</t>
  </si>
  <si>
    <t>Risk Decision</t>
  </si>
  <si>
    <t>R - 097</t>
  </si>
  <si>
    <t>R - 098</t>
  </si>
  <si>
    <t>R - 099</t>
  </si>
  <si>
    <t>R - 100</t>
  </si>
  <si>
    <t>Core Router Failure</t>
  </si>
  <si>
    <t>Access Switch Failure</t>
  </si>
  <si>
    <t>Configuration Backup Missing</t>
  </si>
  <si>
    <t>VLAN Misconfiguration</t>
  </si>
  <si>
    <t>IPv6 Misconfiguration</t>
  </si>
  <si>
    <t>DHCP Service Failure</t>
  </si>
  <si>
    <t>DNS Service Failure</t>
  </si>
  <si>
    <t>Lack of Network Monitoring</t>
  </si>
  <si>
    <t>Uncontrolled Administrative Access</t>
  </si>
  <si>
    <t>Lack of Change Management</t>
  </si>
  <si>
    <t>Network Capacity Exhaustion</t>
  </si>
  <si>
    <t>Network Documentation Missing</t>
  </si>
  <si>
    <t>Infrastructure</t>
  </si>
  <si>
    <t>Operations</t>
  </si>
  <si>
    <t>Security</t>
  </si>
  <si>
    <t>Operational</t>
  </si>
  <si>
    <t>Strategic</t>
  </si>
  <si>
    <t>If an access switch fails without redundancy, connected departments become vulnerable to complete network isolation resulting in service disruption.</t>
  </si>
  <si>
    <t>If network device configurations are lost and no backups exist, infrastructure becomes vulnerable to prolonged recovery time resulting in operational downtime.</t>
  </si>
  <si>
    <t>If VLAN configuration errors occur during network expansion, the network becomes vulnerable to segmentation failure resulting in service disruption or traffic leakage.</t>
  </si>
  <si>
    <t>If IPv6 addressing or routing is misconfigured, devices become vulnerable to connectivity failures resulting in partial network disruption.</t>
  </si>
  <si>
    <t>If the DHCP service fails, client devices become vulnerable to loss of IP assignment resulting in network access disruption.</t>
  </si>
  <si>
    <t>If DNS services fail, users become vulnerable to inability to locate services resulting in widespread service disruption.</t>
  </si>
  <si>
    <t>If network monitoring is absent, failures may remain undetected resulting in prolonged operational disruption.</t>
  </si>
  <si>
    <t>If administrative access is not properly controlled, network devices become vulnerable to unauthorized configuration changes resulting in operational disruption.</t>
  </si>
  <si>
    <t>If network changes are implemented without formal change control, the infrastructure becomes vulnerable to configuration errors resulting in service outages.</t>
  </si>
  <si>
    <t>If network capacity is exceeded during growth, the infrastructure becomes vulnerable to congestion resulting in degraded performance and service disruption.</t>
  </si>
  <si>
    <t>If infrastructure documentation is missing or incomplete, recovery operations become vulnerable to delays resulting in prolonged outages.</t>
  </si>
  <si>
    <t>IT Infrastructure Manager</t>
  </si>
  <si>
    <t>Mitigate</t>
  </si>
  <si>
    <t>Open</t>
  </si>
  <si>
    <t>Risk Domains</t>
  </si>
  <si>
    <t>Compliance</t>
  </si>
  <si>
    <t>Application</t>
  </si>
  <si>
    <t>Network</t>
  </si>
  <si>
    <t>Data</t>
  </si>
  <si>
    <t>Third Party</t>
  </si>
  <si>
    <t>Financial</t>
  </si>
  <si>
    <t>Reputational</t>
  </si>
  <si>
    <t>Legal / Compliance</t>
  </si>
  <si>
    <t>Likelihood Score</t>
  </si>
  <si>
    <t>Impact Score</t>
  </si>
  <si>
    <t>Accept</t>
  </si>
  <si>
    <t>Transfer</t>
  </si>
  <si>
    <t>Avoid</t>
  </si>
  <si>
    <t>In Progress</t>
  </si>
  <si>
    <t>Monitoring</t>
  </si>
  <si>
    <t>Accepted</t>
  </si>
  <si>
    <t>Closed</t>
  </si>
  <si>
    <t>Network Configuration Backup Policy v1.1</t>
  </si>
  <si>
    <t>Configuration Recovery Procedure v1.1</t>
  </si>
  <si>
    <t xml:space="preserve">Annual review </t>
  </si>
  <si>
    <t>Centralized network monitoring and alerting platform</t>
  </si>
  <si>
    <t>Centralized, auditable change management system</t>
  </si>
  <si>
    <t>If the single core router fails while providing inter-VLAN routing, inter-campus connectivity, and DHCP relay services, the network risks widespread cross-site communication failure and loss of critical services, resulting in operational disruption.</t>
  </si>
  <si>
    <t>Change Management Policy v1.0</t>
  </si>
  <si>
    <t>Implement Change Management Procedure v1.0 (aligned to Change Management Policy v1.0)</t>
  </si>
  <si>
    <t>Achieved – Formal change management process established</t>
  </si>
  <si>
    <t>Develop a centralized application to automate and improve implementation of the change control policy</t>
  </si>
  <si>
    <t>Implement device-specific administrative and privileged (enable) passwords as an interim containment measure. Restrict credential distribution to authorised personnel based on operational need, reducing unauthorized access and limiting exposure until formal identity-based access controls are implemented.</t>
  </si>
  <si>
    <t>Relocate network devices to the most secure available offices within each floor, building, and campus. Restrict physical access by securing rooms with locked doors and implementing controlled key access under third-party supervision, requiring formal sign-out and return procedures. Re-route cabling as required to support relocation and ensure devices are not accessible from unsecured or public areas.</t>
  </si>
  <si>
    <t>Deploy dedicated secure network infrastructure areas using locked racks within controlled-access rooms. Implement RFID-based access control with centralised management, environmental protections (fire suppression and climate control), and integrated monitoring systems to ensure all physical and administrative access is restricted, logged, and auditable.</t>
  </si>
  <si>
    <t>Configure secure administrative access on all network devices by setting unique device-level and privileged (enable) passwords, removing default credentials, and restricting access to authorised personnel only.</t>
  </si>
  <si>
    <t>Configure secure administrative access on all network devices by implementing unique device-level and privileged (enable) passwords, removing default credentials, and restricting access to authorised personnel.</t>
  </si>
  <si>
    <t>In-house automated network health monitoring implemented per Network Operational Verification Policy v1.0, reducing likelihood of undetected network failures.</t>
  </si>
  <si>
    <t>Use monitoring system in accordance with Network Operational Verification Policy v1.0.</t>
  </si>
  <si>
    <t>Achieved – Monitoring capability implemented; funding required for alerting and centralised visibility.</t>
  </si>
  <si>
    <t>Propose third-party monitoring solutions for approval at the next executive meeting.</t>
  </si>
  <si>
    <t>Implementation of a formal Business Continuity Policy and Procedure (v1.0), including a defined router failure response (BCP-001), enabling structured failover, controlled degraded operation, and reduced operational impact during failure events.</t>
  </si>
  <si>
    <t>Execute BCP-001 for controlled failover and recovery during router failure.</t>
  </si>
  <si>
    <t>Achieved – BCP implemented; funding required for redundancy.</t>
  </si>
  <si>
    <t>Unauthorised Physical Access to Critical Infrastructure</t>
  </si>
  <si>
    <t>Weak or ineffective physical access controls, including tailgating and lack of identity enforcement, allow unauthorised individuals to gain access to controlled areas and interact with critical infrastructure, enabling system compromise, disruption, or unauthorised changes.</t>
  </si>
  <si>
    <t>Unauthorised Network Access via Physical Ports</t>
  </si>
  <si>
    <t>Active network ports within accessible areas allow unauthorised devices to connect directly to the internal network, bypassing perimeter controls and enabling internal access, data exposure, and potential disruption.</t>
  </si>
  <si>
    <t>Unattended Active User Sessions</t>
  </si>
  <si>
    <t>Unlocked and unattended user sessions allow unauthorised individuals to access systems and data under a valid user identity, enabling data exposure, unauthorised actions, and loss of accountability.</t>
  </si>
  <si>
    <t>Unauthorised Use of Removable Media</t>
  </si>
  <si>
    <t>Unrestricted use of removable media and external interfaces allows unauthorised data extraction or introduction of files, increasing risk of data leakage and system compromise.</t>
  </si>
  <si>
    <t>Uncontrolled Third-Party and Contractor Access</t>
  </si>
  <si>
    <t>External personnel may be granted physical access without sufficient restriction, monitoring, or time-bound control, enabling unauthorised interaction with systems and potential data exposure or disruption.</t>
  </si>
  <si>
    <t>Implement immediate administrative controls to restrict and monitor physical access to critical infrastructure.
- Assign a Key Orderly responsible for daily opening/closing and basic security checks; report unsecured areas
- Enforce closed-door practice for offices and infrastructure areas when not in use
- Restrict access to infrastructure rooms to authorised personnel only, based on role and need
- Require contractors to be escorted at all times within controlled areas
- Establish basic staff awareness, including responsibility to identify, challenge (if safe), or report unknown individuals
- Limit visibility and knowledge of critical infrastructure locations to authorised personnel</t>
  </si>
  <si>
    <t>Establish formalised and accountable physical access control processes within the department.
- Implement centralised key management, including secure key storage, mandatory sign-in/out, and maintained key register
- Assign named ownership for all controlled areas and keys, with clear accountability for access and security
- Introduce colour-coded ID badge system with defined access zones; enforce badge visibility at all times
- Define and enforce controlled access zones for infrastructure and restricted areas
- Develop and implement onboarding and offboarding procedures to issue and recover keys and ID badges
- Establish basic access logging and periodic audits to maintain visibility and accountability
- Define and document security policies and procedures for physical access control and expected staff behaviour
- Implement incident reporting process for unauthorised access, lost keys, or security breaches</t>
  </si>
  <si>
    <t>Implement enterprise-level physical security controls through infrastructure investment and dedicated security operations.
- Construct secured perimeter including fencing, controlled entry/exit points, and a staffed guard house
- Deploy access control systems (e.g., RFID badge access) across site entry points and critical buildings
- Install CCTV surveillance covering perimeter, entry points, and critical infrastructure areas, with retained and reviewable footage
- Employ security personnel for access control, visitor verification, and routine patrols (day and night)
- Integrate access events and surveillance monitoring into a central security function for real-time visibility and response
- Implement visitor management process at entry points, including identity verification and access logging
- Establish physical security monitoring and incident response procedures, aligned with organisational security governance</t>
  </si>
  <si>
    <t>Head of Facilities</t>
  </si>
  <si>
    <t>Implement immediate administrative controls to restrict and monitor physical access to critical infrastructure, including:
- Define authorised access per controlled area
- Assign Key Orderly for daily opening/closing checks
- Enforce closed-door policy for offices and infrastructure areas
- Implement contractor escort requirement
- Communicate staff responsibility to challenge/report unknown individuals</t>
  </si>
  <si>
    <t>Key Actions:
- Limit ports to known devices (port security / sticky MAC)
- Disable and isolate unused ports (unused VLAN, no trunking)
- Implement black hole VLAN for unknown or inactive ports
- Enable basic link and MAC event logging
- Define and label authorised connection points
- Use DHCP lease review to identify unknown devices</t>
  </si>
  <si>
    <t>Key Actions:
- Enforce strict voice and data VLAN separation
- Implement DHCP snooping (trusted uplinks only)
- Enable Dynamic ARP Inspection (DAI)
- Apply IP Source Guard (where supported)
- Introduce centralised syslog monitoring
- Tune port security violation behaviour (shutdown/restrict)
- Establish port labelling and mapping standard
- Introduce basic physical port deterrents
- Implement quarantine VLAN for unknown devices</t>
  </si>
  <si>
    <t>Key Actions:
- Implement Network Access Control (NAC) platform
- Enforce 802.1X authentication across all access ports
- Introduce certificate-based authentication (EAP-TLS)
- Enable device profiling and compliance validation
- Implement dynamic segmentation (identity-based access)
- Integrate network access with physical security systems
- Deploy centralised SIEM for event correlation and detection
- Upgrade access layer infrastructure to support enforcement</t>
  </si>
  <si>
    <t>Tasks
- Audit all access switch ports (identify active vs unused)
- Disable and isolate unused ports (unused VLAN, no trunking)
- Configure port security on active ports (sticky MAC, limit per port)
- Create and apply black hole VLAN to unused/unknown ports
- Enable basic logging (link up/down, MAC events) on switches
- Define and label authorised user connection points
- Review DHCP leases to identify unknown or unauthorised devices</t>
  </si>
  <si>
    <t>Implement redundant routing capability at each campus through the introduction of a secondary router, providing automated failover for gateway services and improving resilience of inter-campus connectivity within current infrastructure constraints.</t>
  </si>
  <si>
    <t>Procure, install, and configure a secondary router at each campus to provide gateway redundancy. Configure failover between routers and integrate with existing network infrastructure, accounting for limitations in physical connectivity and available transport paths.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</si>
</sst>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x14ac:knownFonts="1">
    <font>
      <sz val="11"/>
      <color theme="1"/>
      <name val="Aptos Narrow"/>
      <family val="2"/>
      <scheme val="minor"/>
    </font>
    <font>
      <b/>
      <sz val="11"/>
      <color theme="1"/>
      <name val="Aptos Narrow"/>
      <family val="2"/>
      <scheme val="minor"/>
    </font>
    <font>
      <sz val="9"/>
      <color indexed="81"/>
      <name val="Tahoma"/>
      <family val="2"/>
    </font>
    <font>
      <b/>
      <sz val="9"/>
      <color indexed="81"/>
      <name val="Tahoma"/>
      <family val="2"/>
    </font>
    <font>
      <sz val="11"/>
      <color indexed="81"/>
      <name val="Tahoma"/>
      <family val="2"/>
    </font>
    <font>
      <sz val="8"/>
      <name val="Aptos Narrow"/>
      <family val="2"/>
      <scheme val="minor"/>
    </font>
    <font>
      <b/>
      <u/>
      <sz val="11"/>
      <color theme="1"/>
      <name val="Aptos Narrow"/>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rgb="FF92D05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45">
    <xf numFmtId="0" fontId="0" fillId="0" borderId="0" xfId="0"/>
    <xf numFmtId="0" fontId="0" fillId="0" borderId="0" xfId="0"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2" borderId="1" xfId="0" applyFill="1" applyBorder="1" applyAlignment="1">
      <alignment horizontal="center" vertical="center"/>
    </xf>
    <xf numFmtId="0" fontId="0" fillId="2" borderId="1" xfId="0" applyFill="1" applyBorder="1" applyAlignment="1">
      <alignment horizontal="center" vertical="center" wrapText="1"/>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5" xfId="0" applyFont="1" applyFill="1" applyBorder="1" applyAlignment="1">
      <alignment horizontal="center" vertical="center" wrapText="1"/>
    </xf>
    <xf numFmtId="0" fontId="0" fillId="2" borderId="8" xfId="0" applyFill="1" applyBorder="1" applyAlignment="1">
      <alignment horizontal="center" vertical="center"/>
    </xf>
    <xf numFmtId="0" fontId="0" fillId="2" borderId="8" xfId="0" applyFill="1" applyBorder="1" applyAlignment="1">
      <alignment horizontal="center" vertical="center" wrapText="1"/>
    </xf>
    <xf numFmtId="0" fontId="6" fillId="0" borderId="0" xfId="0" applyFont="1" applyAlignment="1">
      <alignment horizontal="center" vertical="center"/>
    </xf>
    <xf numFmtId="0" fontId="0" fillId="0" borderId="0" xfId="0" applyAlignment="1">
      <alignment vertical="center" wrapText="1"/>
    </xf>
    <xf numFmtId="164" fontId="0" fillId="2" borderId="8" xfId="0" applyNumberFormat="1" applyFill="1" applyBorder="1" applyAlignment="1">
      <alignment horizontal="center" vertical="center"/>
    </xf>
    <xf numFmtId="164" fontId="0" fillId="2" borderId="1" xfId="0" applyNumberFormat="1" applyFill="1" applyBorder="1" applyAlignment="1">
      <alignment horizontal="center" vertical="center"/>
    </xf>
    <xf numFmtId="164" fontId="0" fillId="0" borderId="8" xfId="0" applyNumberFormat="1" applyBorder="1" applyAlignment="1">
      <alignment horizontal="center" vertical="center"/>
    </xf>
    <xf numFmtId="164" fontId="0" fillId="0" borderId="1" xfId="0" applyNumberFormat="1" applyBorder="1" applyAlignment="1">
      <alignment horizontal="center" vertical="center"/>
    </xf>
    <xf numFmtId="164" fontId="0" fillId="0" borderId="0" xfId="0" applyNumberFormat="1" applyAlignment="1">
      <alignment horizontal="center" vertical="center"/>
    </xf>
    <xf numFmtId="164" fontId="1" fillId="2" borderId="7" xfId="0" applyNumberFormat="1" applyFont="1" applyFill="1" applyBorder="1" applyAlignment="1">
      <alignment horizontal="center" vertical="center"/>
    </xf>
    <xf numFmtId="0" fontId="0" fillId="3" borderId="1" xfId="0" applyFill="1" applyBorder="1" applyAlignment="1">
      <alignment horizontal="center" vertical="center" wrapText="1"/>
    </xf>
    <xf numFmtId="0" fontId="0" fillId="3" borderId="8" xfId="0" applyFill="1" applyBorder="1" applyAlignment="1">
      <alignment horizontal="center" vertical="center" wrapText="1"/>
    </xf>
    <xf numFmtId="0" fontId="1" fillId="2" borderId="9" xfId="0" applyFont="1" applyFill="1" applyBorder="1" applyAlignment="1">
      <alignment horizontal="center" vertical="center" wrapText="1"/>
    </xf>
    <xf numFmtId="0" fontId="1" fillId="2" borderId="10" xfId="0" applyFont="1" applyFill="1" applyBorder="1" applyAlignment="1">
      <alignment horizontal="center" vertical="center" wrapText="1"/>
    </xf>
    <xf numFmtId="164" fontId="1" fillId="2" borderId="9" xfId="0" applyNumberFormat="1" applyFont="1" applyFill="1" applyBorder="1" applyAlignment="1">
      <alignment horizontal="center" vertical="center" wrapText="1"/>
    </xf>
    <xf numFmtId="164" fontId="1" fillId="2" borderId="10" xfId="0" applyNumberFormat="1" applyFont="1" applyFill="1" applyBorder="1" applyAlignment="1">
      <alignment horizontal="center" vertical="center" wrapText="1"/>
    </xf>
    <xf numFmtId="0" fontId="1" fillId="2" borderId="11"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9" xfId="0" applyFont="1" applyFill="1" applyBorder="1" applyAlignment="1">
      <alignment horizontal="center" vertical="center"/>
    </xf>
    <xf numFmtId="0" fontId="1" fillId="2" borderId="10"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0" fillId="2" borderId="0" xfId="0" applyFill="1" applyBorder="1" applyAlignment="1">
      <alignment horizontal="center" vertical="center"/>
    </xf>
    <xf numFmtId="0" fontId="0" fillId="0" borderId="0" xfId="0" applyBorder="1" applyAlignment="1">
      <alignment horizontal="center" vertical="center"/>
    </xf>
    <xf numFmtId="0" fontId="0" fillId="2" borderId="0" xfId="0" applyFill="1" applyBorder="1" applyAlignment="1">
      <alignment horizontal="center" vertical="center" wrapText="1"/>
    </xf>
    <xf numFmtId="0" fontId="0" fillId="3" borderId="0" xfId="0" applyFill="1" applyBorder="1" applyAlignment="1">
      <alignment horizontal="center" vertical="center" wrapText="1"/>
    </xf>
    <xf numFmtId="0" fontId="0" fillId="0" borderId="0"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xf>
    <xf numFmtId="0" fontId="0" fillId="0" borderId="8" xfId="0" applyBorder="1" applyAlignment="1">
      <alignment horizontal="left" vertical="center" wrapText="1"/>
    </xf>
    <xf numFmtId="0" fontId="0" fillId="2" borderId="1" xfId="0" applyFill="1" applyBorder="1" applyAlignment="1">
      <alignment horizontal="left" vertical="center" wrapText="1"/>
    </xf>
  </cellXfs>
  <cellStyles count="1">
    <cellStyle name="Normal" xfId="0" builtinId="0"/>
  </cellStyles>
  <dxfs count="4">
    <dxf>
      <fill>
        <patternFill>
          <bgColor rgb="FFFF0000"/>
        </patternFill>
      </fill>
    </dxf>
    <dxf>
      <fill>
        <patternFill>
          <bgColor rgb="FFFFC000"/>
        </patternFill>
      </fill>
    </dxf>
    <dxf>
      <fill>
        <patternFill>
          <bgColor rgb="FFFFFF00"/>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D05B9-D14F-4139-A0D4-519E0444DAB5}">
  <sheetPr>
    <pageSetUpPr fitToPage="1"/>
  </sheetPr>
  <dimension ref="A1:W102"/>
  <sheetViews>
    <sheetView tabSelected="1" zoomScale="25" zoomScaleNormal="25" workbookViewId="0">
      <pane xSplit="2" ySplit="2" topLeftCell="C3" activePane="bottomRight" state="frozen"/>
      <selection pane="topRight" activeCell="C1" sqref="C1"/>
      <selection pane="bottomLeft" activeCell="A3" sqref="A3"/>
      <selection pane="bottomRight" activeCell="W5" sqref="W5"/>
    </sheetView>
  </sheetViews>
  <sheetFormatPr defaultRowHeight="15" x14ac:dyDescent="0.25"/>
  <cols>
    <col min="1" max="1" width="10.85546875" style="4" bestFit="1" customWidth="1"/>
    <col min="2" max="2" width="48" style="4" customWidth="1"/>
    <col min="3" max="3" width="16.7109375" style="4" bestFit="1" customWidth="1"/>
    <col min="4" max="4" width="33.7109375" style="4" bestFit="1" customWidth="1"/>
    <col min="5" max="5" width="61.42578125" style="5" customWidth="1"/>
    <col min="6" max="6" width="14.42578125" style="4" bestFit="1" customWidth="1"/>
    <col min="7" max="7" width="10" style="4" bestFit="1" customWidth="1"/>
    <col min="8" max="8" width="9" style="4" bestFit="1" customWidth="1"/>
    <col min="9" max="9" width="14.42578125" style="4" bestFit="1" customWidth="1"/>
    <col min="10" max="10" width="10.85546875" style="4" bestFit="1" customWidth="1"/>
    <col min="11" max="11" width="9" style="4" bestFit="1" customWidth="1"/>
    <col min="12" max="12" width="19.42578125" style="4" bestFit="1" customWidth="1"/>
    <col min="13" max="13" width="11.28515625" style="4" bestFit="1" customWidth="1"/>
    <col min="14" max="14" width="90.28515625" style="4" customWidth="1"/>
    <col min="15" max="15" width="102.7109375" style="4" customWidth="1"/>
    <col min="16" max="16" width="102.28515625" style="4" customWidth="1"/>
    <col min="17" max="17" width="88.140625" style="4" customWidth="1"/>
    <col min="18" max="18" width="39.42578125" style="4" customWidth="1"/>
    <col min="19" max="19" width="33.85546875" style="4" customWidth="1"/>
    <col min="20" max="20" width="51.140625" style="5" customWidth="1"/>
    <col min="21" max="21" width="16.28515625" style="20" bestFit="1" customWidth="1"/>
    <col min="22" max="22" width="15.7109375" style="1" bestFit="1" customWidth="1"/>
    <col min="23" max="23" width="19.42578125" style="21" bestFit="1" customWidth="1"/>
    <col min="24" max="16384" width="9.140625" style="1"/>
  </cols>
  <sheetData>
    <row r="1" spans="1:23" s="8" customFormat="1" x14ac:dyDescent="0.25">
      <c r="A1" s="31" t="s">
        <v>17</v>
      </c>
      <c r="B1" s="31" t="s">
        <v>0</v>
      </c>
      <c r="C1" s="29" t="s">
        <v>118</v>
      </c>
      <c r="D1" s="29" t="s">
        <v>13</v>
      </c>
      <c r="E1" s="25" t="s">
        <v>114</v>
      </c>
      <c r="F1" s="33" t="s">
        <v>15</v>
      </c>
      <c r="G1" s="34"/>
      <c r="H1" s="35"/>
      <c r="I1" s="33" t="s">
        <v>16</v>
      </c>
      <c r="J1" s="34"/>
      <c r="K1" s="35"/>
      <c r="L1" s="31" t="s">
        <v>5</v>
      </c>
      <c r="M1" s="31" t="s">
        <v>9</v>
      </c>
      <c r="N1" s="31" t="s">
        <v>6</v>
      </c>
      <c r="O1" s="31" t="s">
        <v>7</v>
      </c>
      <c r="P1" s="31" t="s">
        <v>115</v>
      </c>
      <c r="Q1" s="31" t="s">
        <v>8</v>
      </c>
      <c r="R1" s="31" t="s">
        <v>119</v>
      </c>
      <c r="S1" s="31" t="s">
        <v>10</v>
      </c>
      <c r="T1" s="33" t="s">
        <v>11</v>
      </c>
      <c r="U1" s="35"/>
      <c r="V1" s="25" t="s">
        <v>116</v>
      </c>
      <c r="W1" s="27" t="s">
        <v>117</v>
      </c>
    </row>
    <row r="2" spans="1:23" s="8" customFormat="1" ht="15.75" thickBot="1" x14ac:dyDescent="0.3">
      <c r="A2" s="32"/>
      <c r="B2" s="32"/>
      <c r="C2" s="30"/>
      <c r="D2" s="30"/>
      <c r="E2" s="26"/>
      <c r="F2" s="9" t="s">
        <v>1</v>
      </c>
      <c r="G2" s="10" t="s">
        <v>2</v>
      </c>
      <c r="H2" s="11" t="s">
        <v>3</v>
      </c>
      <c r="I2" s="9" t="s">
        <v>1</v>
      </c>
      <c r="J2" s="10" t="s">
        <v>4</v>
      </c>
      <c r="K2" s="11" t="s">
        <v>3</v>
      </c>
      <c r="L2" s="32"/>
      <c r="M2" s="32"/>
      <c r="N2" s="32"/>
      <c r="O2" s="32"/>
      <c r="P2" s="32"/>
      <c r="Q2" s="32"/>
      <c r="R2" s="32"/>
      <c r="S2" s="32"/>
      <c r="T2" s="12" t="s">
        <v>12</v>
      </c>
      <c r="U2" s="22" t="s">
        <v>14</v>
      </c>
      <c r="V2" s="26"/>
      <c r="W2" s="28"/>
    </row>
    <row r="3" spans="1:23" ht="240" x14ac:dyDescent="0.25">
      <c r="A3" s="2" t="s">
        <v>30</v>
      </c>
      <c r="B3" s="3" t="s">
        <v>195</v>
      </c>
      <c r="C3" s="2" t="s">
        <v>136</v>
      </c>
      <c r="D3" s="2" t="s">
        <v>139</v>
      </c>
      <c r="E3" s="3" t="s">
        <v>196</v>
      </c>
      <c r="F3" s="2">
        <v>5</v>
      </c>
      <c r="G3" s="2">
        <v>5</v>
      </c>
      <c r="H3" s="2">
        <f>F3*G3</f>
        <v>25</v>
      </c>
      <c r="I3" s="2">
        <v>5</v>
      </c>
      <c r="J3" s="2">
        <v>5</v>
      </c>
      <c r="K3" s="2">
        <f>I3*J3</f>
        <v>25</v>
      </c>
      <c r="L3" s="2"/>
      <c r="M3" s="2">
        <v>1</v>
      </c>
      <c r="N3" s="43"/>
      <c r="O3" s="43" t="s">
        <v>205</v>
      </c>
      <c r="P3" s="43" t="s">
        <v>206</v>
      </c>
      <c r="Q3" s="43" t="s">
        <v>207</v>
      </c>
      <c r="R3" s="2" t="s">
        <v>153</v>
      </c>
      <c r="S3" s="2" t="s">
        <v>208</v>
      </c>
      <c r="T3" s="43" t="s">
        <v>209</v>
      </c>
      <c r="U3" s="19">
        <v>46361</v>
      </c>
      <c r="V3" s="2" t="s">
        <v>169</v>
      </c>
      <c r="W3" s="19">
        <v>46147</v>
      </c>
    </row>
    <row r="4" spans="1:23" ht="210" x14ac:dyDescent="0.25">
      <c r="A4" s="6" t="s">
        <v>31</v>
      </c>
      <c r="B4" s="6" t="s">
        <v>197</v>
      </c>
      <c r="C4" s="6" t="s">
        <v>158</v>
      </c>
      <c r="D4" s="6" t="s">
        <v>139</v>
      </c>
      <c r="E4" s="7" t="s">
        <v>198</v>
      </c>
      <c r="F4" s="6">
        <v>4</v>
      </c>
      <c r="G4" s="6">
        <v>4</v>
      </c>
      <c r="H4" s="6">
        <f>F4*G4</f>
        <v>16</v>
      </c>
      <c r="I4" s="6">
        <v>4</v>
      </c>
      <c r="J4" s="6">
        <v>4</v>
      </c>
      <c r="K4" s="6">
        <f>I4*J4</f>
        <v>16</v>
      </c>
      <c r="L4" s="6"/>
      <c r="M4" s="6">
        <v>2</v>
      </c>
      <c r="N4" s="6"/>
      <c r="O4" s="44" t="s">
        <v>210</v>
      </c>
      <c r="P4" s="44" t="s">
        <v>211</v>
      </c>
      <c r="Q4" s="44" t="s">
        <v>212</v>
      </c>
      <c r="R4" s="6" t="s">
        <v>153</v>
      </c>
      <c r="S4" s="6" t="s">
        <v>152</v>
      </c>
      <c r="T4" s="44" t="s">
        <v>213</v>
      </c>
      <c r="U4" s="17">
        <v>46361</v>
      </c>
      <c r="V4" s="6" t="s">
        <v>169</v>
      </c>
      <c r="W4" s="18">
        <v>46148</v>
      </c>
    </row>
    <row r="5" spans="1:23" ht="120" customHeight="1" x14ac:dyDescent="0.25">
      <c r="A5" s="2" t="s">
        <v>18</v>
      </c>
      <c r="B5" s="2" t="s">
        <v>124</v>
      </c>
      <c r="C5" s="2" t="s">
        <v>136</v>
      </c>
      <c r="D5" s="2" t="s">
        <v>139</v>
      </c>
      <c r="E5" s="3" t="s">
        <v>178</v>
      </c>
      <c r="F5" s="2">
        <v>3</v>
      </c>
      <c r="G5" s="2">
        <v>5</v>
      </c>
      <c r="H5" s="2">
        <f>F5*G5</f>
        <v>15</v>
      </c>
      <c r="I5" s="2">
        <v>3</v>
      </c>
      <c r="J5" s="2">
        <v>4</v>
      </c>
      <c r="K5" s="2">
        <f>I5*J5</f>
        <v>12</v>
      </c>
      <c r="L5" s="2"/>
      <c r="M5" s="2">
        <v>3</v>
      </c>
      <c r="N5" s="41" t="s">
        <v>192</v>
      </c>
      <c r="O5" s="41" t="s">
        <v>193</v>
      </c>
      <c r="P5" s="39" t="s">
        <v>194</v>
      </c>
      <c r="Q5" s="41" t="s">
        <v>214</v>
      </c>
      <c r="R5" s="42" t="s">
        <v>153</v>
      </c>
      <c r="S5" s="42" t="s">
        <v>152</v>
      </c>
      <c r="T5" s="40" t="s">
        <v>215</v>
      </c>
      <c r="U5" s="19">
        <v>46361</v>
      </c>
      <c r="V5" s="2" t="s">
        <v>169</v>
      </c>
      <c r="W5" s="19">
        <v>46148</v>
      </c>
    </row>
    <row r="6" spans="1:23" ht="126" customHeight="1" x14ac:dyDescent="0.25">
      <c r="A6" s="6" t="s">
        <v>19</v>
      </c>
      <c r="B6" s="6" t="s">
        <v>125</v>
      </c>
      <c r="C6" s="6" t="s">
        <v>136</v>
      </c>
      <c r="D6" s="6" t="s">
        <v>139</v>
      </c>
      <c r="E6" s="7" t="s">
        <v>141</v>
      </c>
      <c r="F6" s="6">
        <v>3</v>
      </c>
      <c r="G6" s="6">
        <v>4</v>
      </c>
      <c r="H6" s="6">
        <f>F6*G6</f>
        <v>12</v>
      </c>
      <c r="I6" s="6">
        <v>3</v>
      </c>
      <c r="J6" s="6">
        <v>4</v>
      </c>
      <c r="K6" s="6">
        <f>I6*J6</f>
        <v>12</v>
      </c>
      <c r="L6" s="6"/>
      <c r="M6" s="6">
        <v>4</v>
      </c>
      <c r="N6" s="6"/>
      <c r="O6" s="6"/>
      <c r="P6" s="6"/>
      <c r="Q6" s="6"/>
      <c r="R6" s="6"/>
      <c r="S6" s="6"/>
      <c r="T6" s="7"/>
      <c r="U6" s="18"/>
      <c r="V6" s="6" t="s">
        <v>154</v>
      </c>
      <c r="W6" s="18">
        <v>46089</v>
      </c>
    </row>
    <row r="7" spans="1:23" ht="75" customHeight="1" x14ac:dyDescent="0.25">
      <c r="A7" s="13" t="s">
        <v>23</v>
      </c>
      <c r="B7" s="13" t="s">
        <v>129</v>
      </c>
      <c r="C7" s="13" t="s">
        <v>136</v>
      </c>
      <c r="D7" s="13" t="s">
        <v>139</v>
      </c>
      <c r="E7" s="14" t="s">
        <v>145</v>
      </c>
      <c r="F7" s="13">
        <v>3</v>
      </c>
      <c r="G7" s="13">
        <v>4</v>
      </c>
      <c r="H7" s="13">
        <f>F7*G7</f>
        <v>12</v>
      </c>
      <c r="I7" s="13">
        <v>3</v>
      </c>
      <c r="J7" s="13">
        <v>4</v>
      </c>
      <c r="K7" s="13">
        <f>I7*J7</f>
        <v>12</v>
      </c>
      <c r="L7" s="13"/>
      <c r="M7" s="13">
        <v>5</v>
      </c>
      <c r="N7" s="13"/>
      <c r="O7" s="13"/>
      <c r="P7" s="13"/>
      <c r="Q7" s="13"/>
      <c r="R7" s="13"/>
      <c r="S7" s="13"/>
      <c r="T7" s="14"/>
      <c r="U7" s="17"/>
      <c r="V7" s="13" t="s">
        <v>154</v>
      </c>
      <c r="W7" s="17">
        <v>46089</v>
      </c>
    </row>
    <row r="8" spans="1:23" ht="75" customHeight="1" x14ac:dyDescent="0.25">
      <c r="A8" s="4" t="s">
        <v>24</v>
      </c>
      <c r="B8" s="4" t="s">
        <v>130</v>
      </c>
      <c r="C8" s="4" t="s">
        <v>136</v>
      </c>
      <c r="D8" s="4" t="s">
        <v>139</v>
      </c>
      <c r="E8" s="5" t="s">
        <v>146</v>
      </c>
      <c r="F8" s="4">
        <v>3</v>
      </c>
      <c r="G8" s="4">
        <v>4</v>
      </c>
      <c r="H8" s="4">
        <f>F8*G8</f>
        <v>12</v>
      </c>
      <c r="I8" s="4">
        <v>3</v>
      </c>
      <c r="J8" s="4">
        <v>4</v>
      </c>
      <c r="K8" s="4">
        <f>I8*J8</f>
        <v>12</v>
      </c>
      <c r="V8" s="4" t="s">
        <v>154</v>
      </c>
      <c r="W8" s="20">
        <v>46089</v>
      </c>
    </row>
    <row r="9" spans="1:23" ht="75" customHeight="1" x14ac:dyDescent="0.25">
      <c r="A9" s="2" t="s">
        <v>28</v>
      </c>
      <c r="B9" s="2" t="s">
        <v>134</v>
      </c>
      <c r="C9" s="2" t="s">
        <v>136</v>
      </c>
      <c r="D9" s="2" t="s">
        <v>140</v>
      </c>
      <c r="E9" s="3" t="s">
        <v>150</v>
      </c>
      <c r="F9" s="2">
        <v>3</v>
      </c>
      <c r="G9" s="2">
        <v>4</v>
      </c>
      <c r="H9" s="2">
        <f>F9*G9</f>
        <v>12</v>
      </c>
      <c r="I9" s="2">
        <v>3</v>
      </c>
      <c r="J9" s="2">
        <v>4</v>
      </c>
      <c r="K9" s="2">
        <f>I9*J9</f>
        <v>12</v>
      </c>
      <c r="L9" s="2"/>
      <c r="M9" s="2"/>
      <c r="N9" s="2"/>
      <c r="O9" s="2"/>
      <c r="P9" s="2"/>
      <c r="Q9" s="2"/>
      <c r="R9" s="2"/>
      <c r="S9" s="2"/>
      <c r="T9" s="3"/>
      <c r="U9" s="19"/>
      <c r="V9" s="2" t="s">
        <v>154</v>
      </c>
      <c r="W9" s="19">
        <v>46089</v>
      </c>
    </row>
    <row r="10" spans="1:23" ht="90" customHeight="1" x14ac:dyDescent="0.25">
      <c r="A10" s="4" t="s">
        <v>32</v>
      </c>
      <c r="B10" s="4" t="s">
        <v>199</v>
      </c>
      <c r="C10" s="4" t="s">
        <v>138</v>
      </c>
      <c r="D10" s="4" t="s">
        <v>163</v>
      </c>
      <c r="E10" s="5" t="s">
        <v>200</v>
      </c>
      <c r="F10" s="4">
        <v>4</v>
      </c>
      <c r="G10" s="4">
        <v>3</v>
      </c>
      <c r="H10" s="4">
        <f>F10*G10</f>
        <v>12</v>
      </c>
      <c r="I10" s="4">
        <v>4</v>
      </c>
      <c r="J10" s="4">
        <v>3</v>
      </c>
      <c r="K10" s="4">
        <f>I10*J10</f>
        <v>12</v>
      </c>
      <c r="V10" s="4" t="s">
        <v>154</v>
      </c>
      <c r="W10" s="20">
        <v>46149</v>
      </c>
    </row>
    <row r="11" spans="1:23" ht="90" customHeight="1" x14ac:dyDescent="0.25">
      <c r="A11" s="2" t="s">
        <v>34</v>
      </c>
      <c r="B11" s="2" t="s">
        <v>203</v>
      </c>
      <c r="C11" s="2" t="s">
        <v>160</v>
      </c>
      <c r="D11" s="2" t="s">
        <v>139</v>
      </c>
      <c r="E11" s="3" t="s">
        <v>204</v>
      </c>
      <c r="F11" s="2">
        <v>3</v>
      </c>
      <c r="G11" s="2">
        <v>4</v>
      </c>
      <c r="H11" s="2">
        <f>F11*G11</f>
        <v>12</v>
      </c>
      <c r="I11" s="2">
        <v>3</v>
      </c>
      <c r="J11" s="2">
        <v>4</v>
      </c>
      <c r="K11" s="2">
        <f>I11*J11</f>
        <v>12</v>
      </c>
      <c r="L11" s="2"/>
      <c r="M11" s="2"/>
      <c r="N11" s="2"/>
      <c r="O11" s="2"/>
      <c r="P11" s="2"/>
      <c r="Q11" s="2"/>
      <c r="R11" s="2"/>
      <c r="S11" s="2"/>
      <c r="T11" s="3"/>
      <c r="U11" s="19"/>
      <c r="V11" s="2" t="s">
        <v>154</v>
      </c>
      <c r="W11" s="19">
        <v>46151</v>
      </c>
    </row>
    <row r="12" spans="1:23" ht="90" customHeight="1" x14ac:dyDescent="0.25">
      <c r="A12" s="4" t="s">
        <v>26</v>
      </c>
      <c r="B12" s="4" t="s">
        <v>132</v>
      </c>
      <c r="C12" s="4" t="s">
        <v>138</v>
      </c>
      <c r="D12" s="4" t="s">
        <v>139</v>
      </c>
      <c r="E12" s="5" t="s">
        <v>148</v>
      </c>
      <c r="F12" s="4">
        <v>3</v>
      </c>
      <c r="G12" s="4">
        <v>5</v>
      </c>
      <c r="H12" s="4">
        <f>F12*G12</f>
        <v>15</v>
      </c>
      <c r="I12" s="4">
        <v>2</v>
      </c>
      <c r="J12" s="4">
        <v>5</v>
      </c>
      <c r="K12" s="4">
        <f>I12*J12</f>
        <v>10</v>
      </c>
      <c r="N12" s="5" t="s">
        <v>183</v>
      </c>
      <c r="O12" s="5" t="s">
        <v>187</v>
      </c>
      <c r="P12" s="5" t="s">
        <v>184</v>
      </c>
      <c r="Q12" s="5" t="s">
        <v>185</v>
      </c>
      <c r="R12" s="4" t="s">
        <v>153</v>
      </c>
      <c r="S12" s="4" t="s">
        <v>152</v>
      </c>
      <c r="T12" s="5" t="s">
        <v>186</v>
      </c>
      <c r="U12" s="20">
        <v>46147</v>
      </c>
      <c r="V12" s="4" t="s">
        <v>169</v>
      </c>
      <c r="W12" s="20">
        <v>46140</v>
      </c>
    </row>
    <row r="13" spans="1:23" ht="120" customHeight="1" x14ac:dyDescent="0.25">
      <c r="A13" s="13" t="s">
        <v>21</v>
      </c>
      <c r="B13" s="13" t="s">
        <v>127</v>
      </c>
      <c r="C13" s="13" t="s">
        <v>137</v>
      </c>
      <c r="D13" s="13" t="s">
        <v>139</v>
      </c>
      <c r="E13" s="14" t="s">
        <v>143</v>
      </c>
      <c r="F13" s="13">
        <v>3</v>
      </c>
      <c r="G13" s="13">
        <v>3</v>
      </c>
      <c r="H13" s="13">
        <f>F13*G13</f>
        <v>9</v>
      </c>
      <c r="I13" s="13">
        <v>3</v>
      </c>
      <c r="J13" s="13">
        <v>3</v>
      </c>
      <c r="K13" s="13">
        <f>I13*J13</f>
        <v>9</v>
      </c>
      <c r="L13" s="13"/>
      <c r="M13" s="13"/>
      <c r="N13" s="13"/>
      <c r="O13" s="13"/>
      <c r="P13" s="13"/>
      <c r="Q13" s="13"/>
      <c r="R13" s="13"/>
      <c r="S13" s="13"/>
      <c r="T13" s="14"/>
      <c r="U13" s="17"/>
      <c r="V13" s="13" t="s">
        <v>154</v>
      </c>
      <c r="W13" s="17">
        <v>46089</v>
      </c>
    </row>
    <row r="14" spans="1:23" ht="90" customHeight="1" x14ac:dyDescent="0.25">
      <c r="A14" s="4" t="s">
        <v>22</v>
      </c>
      <c r="B14" s="4" t="s">
        <v>128</v>
      </c>
      <c r="C14" s="4" t="s">
        <v>136</v>
      </c>
      <c r="D14" s="4" t="s">
        <v>139</v>
      </c>
      <c r="E14" s="5" t="s">
        <v>144</v>
      </c>
      <c r="F14" s="4">
        <v>3</v>
      </c>
      <c r="G14" s="4">
        <v>3</v>
      </c>
      <c r="H14" s="4">
        <f>F14*G14</f>
        <v>9</v>
      </c>
      <c r="I14" s="4">
        <v>3</v>
      </c>
      <c r="J14" s="4">
        <v>3</v>
      </c>
      <c r="K14" s="4">
        <f>I14*J14</f>
        <v>9</v>
      </c>
      <c r="V14" s="4" t="s">
        <v>154</v>
      </c>
      <c r="W14" s="20">
        <v>46089</v>
      </c>
    </row>
    <row r="15" spans="1:23" ht="76.5" customHeight="1" x14ac:dyDescent="0.25">
      <c r="A15" s="13" t="s">
        <v>29</v>
      </c>
      <c r="B15" s="36" t="s">
        <v>135</v>
      </c>
      <c r="C15" s="13" t="s">
        <v>137</v>
      </c>
      <c r="D15" s="13" t="s">
        <v>139</v>
      </c>
      <c r="E15" s="38" t="s">
        <v>151</v>
      </c>
      <c r="F15" s="13">
        <v>3</v>
      </c>
      <c r="G15" s="13">
        <v>3</v>
      </c>
      <c r="H15" s="6">
        <f>F15*G15</f>
        <v>9</v>
      </c>
      <c r="I15" s="13">
        <v>3</v>
      </c>
      <c r="J15" s="13">
        <v>3</v>
      </c>
      <c r="K15" s="13">
        <f>I15*J15</f>
        <v>9</v>
      </c>
      <c r="L15" s="13"/>
      <c r="M15" s="13"/>
      <c r="N15" s="13"/>
      <c r="O15" s="13"/>
      <c r="P15" s="13"/>
      <c r="Q15" s="13"/>
      <c r="R15" s="13"/>
      <c r="S15" s="13"/>
      <c r="T15" s="14"/>
      <c r="U15" s="17"/>
      <c r="V15" s="13" t="s">
        <v>154</v>
      </c>
      <c r="W15" s="17">
        <v>46089</v>
      </c>
    </row>
    <row r="16" spans="1:23" ht="60" x14ac:dyDescent="0.25">
      <c r="A16" s="6" t="s">
        <v>33</v>
      </c>
      <c r="B16" s="6" t="s">
        <v>201</v>
      </c>
      <c r="C16" s="6" t="s">
        <v>159</v>
      </c>
      <c r="D16" s="6" t="s">
        <v>163</v>
      </c>
      <c r="E16" s="7" t="s">
        <v>202</v>
      </c>
      <c r="F16" s="6">
        <v>3</v>
      </c>
      <c r="G16" s="6">
        <v>3</v>
      </c>
      <c r="H16" s="6">
        <f>F16*G16</f>
        <v>9</v>
      </c>
      <c r="I16" s="6">
        <v>3</v>
      </c>
      <c r="J16" s="6">
        <v>3</v>
      </c>
      <c r="K16" s="6">
        <f>I16*J16</f>
        <v>9</v>
      </c>
      <c r="L16" s="6"/>
      <c r="M16" s="6"/>
      <c r="N16" s="6"/>
      <c r="O16" s="6"/>
      <c r="P16" s="6"/>
      <c r="Q16" s="6"/>
      <c r="R16" s="6"/>
      <c r="S16" s="6"/>
      <c r="T16" s="7"/>
      <c r="U16" s="18"/>
      <c r="V16" s="6" t="s">
        <v>154</v>
      </c>
      <c r="W16" s="18">
        <v>46150</v>
      </c>
    </row>
    <row r="17" spans="1:23" ht="60" x14ac:dyDescent="0.25">
      <c r="A17" s="13" t="s">
        <v>25</v>
      </c>
      <c r="B17" s="13" t="s">
        <v>131</v>
      </c>
      <c r="C17" s="13" t="s">
        <v>137</v>
      </c>
      <c r="D17" s="13" t="s">
        <v>139</v>
      </c>
      <c r="E17" s="14" t="s">
        <v>147</v>
      </c>
      <c r="F17" s="13">
        <v>4</v>
      </c>
      <c r="G17" s="13">
        <v>4</v>
      </c>
      <c r="H17" s="6">
        <f>F17*G17</f>
        <v>16</v>
      </c>
      <c r="I17" s="13">
        <v>2</v>
      </c>
      <c r="J17" s="13">
        <v>4</v>
      </c>
      <c r="K17" s="13">
        <f>I17*J17</f>
        <v>8</v>
      </c>
      <c r="L17" s="13"/>
      <c r="M17" s="13"/>
      <c r="N17" s="14" t="s">
        <v>188</v>
      </c>
      <c r="O17" s="14" t="s">
        <v>189</v>
      </c>
      <c r="P17" s="24" t="s">
        <v>190</v>
      </c>
      <c r="Q17" s="13" t="s">
        <v>176</v>
      </c>
      <c r="R17" s="13" t="s">
        <v>153</v>
      </c>
      <c r="S17" s="13" t="s">
        <v>152</v>
      </c>
      <c r="T17" s="14" t="s">
        <v>191</v>
      </c>
      <c r="U17" s="17">
        <v>46143</v>
      </c>
      <c r="V17" s="13" t="s">
        <v>154</v>
      </c>
      <c r="W17" s="17">
        <v>46140</v>
      </c>
    </row>
    <row r="18" spans="1:23" ht="45" x14ac:dyDescent="0.25">
      <c r="A18" s="6" t="s">
        <v>27</v>
      </c>
      <c r="B18" s="6" t="s">
        <v>133</v>
      </c>
      <c r="C18" s="6" t="s">
        <v>137</v>
      </c>
      <c r="D18" s="6" t="s">
        <v>139</v>
      </c>
      <c r="E18" s="7" t="s">
        <v>149</v>
      </c>
      <c r="F18" s="6">
        <v>4</v>
      </c>
      <c r="G18" s="6">
        <v>4</v>
      </c>
      <c r="H18" s="6">
        <f>F18*G18</f>
        <v>16</v>
      </c>
      <c r="I18" s="6">
        <v>2</v>
      </c>
      <c r="J18" s="6">
        <v>4</v>
      </c>
      <c r="K18" s="6">
        <f>I18*J18</f>
        <v>8</v>
      </c>
      <c r="L18" s="6"/>
      <c r="M18" s="6"/>
      <c r="N18" s="6" t="s">
        <v>179</v>
      </c>
      <c r="O18" s="7" t="s">
        <v>180</v>
      </c>
      <c r="P18" s="23" t="s">
        <v>181</v>
      </c>
      <c r="Q18" s="6" t="s">
        <v>177</v>
      </c>
      <c r="R18" s="6" t="s">
        <v>153</v>
      </c>
      <c r="S18" s="6" t="s">
        <v>152</v>
      </c>
      <c r="T18" s="7" t="s">
        <v>182</v>
      </c>
      <c r="U18" s="18">
        <v>46147</v>
      </c>
      <c r="V18" s="6" t="s">
        <v>154</v>
      </c>
      <c r="W18" s="18">
        <v>46140</v>
      </c>
    </row>
    <row r="19" spans="1:23" ht="60" x14ac:dyDescent="0.25">
      <c r="A19" s="2" t="s">
        <v>20</v>
      </c>
      <c r="B19" s="37" t="s">
        <v>126</v>
      </c>
      <c r="C19" s="2" t="s">
        <v>137</v>
      </c>
      <c r="D19" s="2" t="s">
        <v>139</v>
      </c>
      <c r="E19" s="3" t="s">
        <v>142</v>
      </c>
      <c r="F19" s="2">
        <v>4</v>
      </c>
      <c r="G19" s="2">
        <v>4</v>
      </c>
      <c r="H19" s="4">
        <f>F19*G19</f>
        <v>16</v>
      </c>
      <c r="I19" s="2">
        <v>4</v>
      </c>
      <c r="J19" s="2">
        <v>2</v>
      </c>
      <c r="K19" s="2">
        <f>I19*J19</f>
        <v>8</v>
      </c>
      <c r="L19" s="2"/>
      <c r="M19" s="2"/>
      <c r="N19" s="2" t="s">
        <v>173</v>
      </c>
      <c r="O19" s="2" t="s">
        <v>174</v>
      </c>
      <c r="P19" s="2" t="s">
        <v>174</v>
      </c>
      <c r="Q19" s="2" t="s">
        <v>174</v>
      </c>
      <c r="R19" s="2" t="s">
        <v>153</v>
      </c>
      <c r="S19" s="2" t="s">
        <v>152</v>
      </c>
      <c r="T19" s="3" t="s">
        <v>175</v>
      </c>
      <c r="U19" s="19">
        <v>46419</v>
      </c>
      <c r="V19" s="2" t="s">
        <v>171</v>
      </c>
      <c r="W19" s="19">
        <v>46113</v>
      </c>
    </row>
    <row r="20" spans="1:23" x14ac:dyDescent="0.25">
      <c r="A20" s="6" t="s">
        <v>35</v>
      </c>
      <c r="B20" s="6"/>
      <c r="C20" s="6"/>
      <c r="D20" s="6"/>
      <c r="E20" s="7"/>
      <c r="F20" s="6"/>
      <c r="G20" s="6"/>
      <c r="H20" s="6"/>
      <c r="I20" s="6"/>
      <c r="J20" s="6"/>
      <c r="K20" s="6"/>
      <c r="L20" s="6"/>
      <c r="M20" s="6"/>
      <c r="N20" s="6"/>
      <c r="O20" s="6"/>
      <c r="P20" s="6"/>
      <c r="Q20" s="6"/>
      <c r="R20" s="6"/>
      <c r="S20" s="6"/>
      <c r="T20" s="7"/>
      <c r="U20" s="18"/>
      <c r="V20" s="6"/>
      <c r="W20" s="18"/>
    </row>
    <row r="21" spans="1:23" x14ac:dyDescent="0.25">
      <c r="A21" s="2" t="s">
        <v>36</v>
      </c>
      <c r="B21" s="2"/>
      <c r="C21" s="2"/>
      <c r="D21" s="2"/>
      <c r="E21" s="3"/>
      <c r="F21" s="2"/>
      <c r="G21" s="2"/>
      <c r="I21" s="2"/>
      <c r="J21" s="2"/>
      <c r="K21" s="2"/>
      <c r="L21" s="2"/>
      <c r="M21" s="2"/>
      <c r="N21" s="2"/>
      <c r="O21" s="2"/>
      <c r="P21" s="2"/>
      <c r="Q21" s="2"/>
      <c r="R21" s="2"/>
      <c r="S21" s="2"/>
      <c r="T21" s="3"/>
      <c r="U21" s="19"/>
      <c r="V21" s="2"/>
      <c r="W21" s="19"/>
    </row>
    <row r="22" spans="1:23" x14ac:dyDescent="0.25">
      <c r="A22" s="6" t="s">
        <v>37</v>
      </c>
      <c r="B22" s="6"/>
      <c r="C22" s="6"/>
      <c r="D22" s="6"/>
      <c r="E22" s="7"/>
      <c r="F22" s="6"/>
      <c r="G22" s="6"/>
      <c r="H22" s="6"/>
      <c r="I22" s="6"/>
      <c r="J22" s="6"/>
      <c r="K22" s="6"/>
      <c r="L22" s="6"/>
      <c r="M22" s="6"/>
      <c r="N22" s="6"/>
      <c r="O22" s="6"/>
      <c r="P22" s="6"/>
      <c r="Q22" s="6"/>
      <c r="R22" s="6"/>
      <c r="S22" s="6"/>
      <c r="T22" s="7"/>
      <c r="U22" s="18"/>
      <c r="V22" s="6"/>
      <c r="W22" s="18"/>
    </row>
    <row r="23" spans="1:23" x14ac:dyDescent="0.25">
      <c r="A23" s="2" t="s">
        <v>38</v>
      </c>
      <c r="B23" s="2"/>
      <c r="C23" s="2"/>
      <c r="D23" s="2"/>
      <c r="E23" s="3"/>
      <c r="F23" s="2"/>
      <c r="G23" s="2"/>
      <c r="I23" s="2"/>
      <c r="J23" s="2"/>
      <c r="K23" s="2"/>
      <c r="L23" s="2"/>
      <c r="M23" s="2"/>
      <c r="N23" s="2"/>
      <c r="O23" s="2"/>
      <c r="P23" s="2"/>
      <c r="Q23" s="2"/>
      <c r="R23" s="2"/>
      <c r="S23" s="2"/>
      <c r="T23" s="3"/>
      <c r="U23" s="19"/>
      <c r="V23" s="2"/>
      <c r="W23" s="19"/>
    </row>
    <row r="24" spans="1:23" x14ac:dyDescent="0.25">
      <c r="A24" s="6" t="s">
        <v>39</v>
      </c>
      <c r="B24" s="6"/>
      <c r="C24" s="6"/>
      <c r="D24" s="6"/>
      <c r="E24" s="7"/>
      <c r="F24" s="6"/>
      <c r="G24" s="6"/>
      <c r="H24" s="6"/>
      <c r="I24" s="6"/>
      <c r="J24" s="6"/>
      <c r="K24" s="6"/>
      <c r="L24" s="6"/>
      <c r="M24" s="6"/>
      <c r="N24" s="6"/>
      <c r="O24" s="6"/>
      <c r="P24" s="6"/>
      <c r="Q24" s="6"/>
      <c r="R24" s="6"/>
      <c r="S24" s="6"/>
      <c r="T24" s="7"/>
      <c r="U24" s="18"/>
      <c r="V24" s="6"/>
      <c r="W24" s="18"/>
    </row>
    <row r="25" spans="1:23" x14ac:dyDescent="0.25">
      <c r="A25" s="2" t="s">
        <v>40</v>
      </c>
      <c r="B25" s="2"/>
      <c r="C25" s="2"/>
      <c r="D25" s="2"/>
      <c r="E25" s="3"/>
      <c r="F25" s="2"/>
      <c r="G25" s="2"/>
      <c r="I25" s="2"/>
      <c r="J25" s="2"/>
      <c r="K25" s="2"/>
      <c r="L25" s="2"/>
      <c r="M25" s="2"/>
      <c r="N25" s="2"/>
      <c r="O25" s="2"/>
      <c r="P25" s="2"/>
      <c r="Q25" s="2"/>
      <c r="R25" s="2"/>
      <c r="S25" s="2"/>
      <c r="T25" s="3"/>
      <c r="U25" s="19"/>
      <c r="V25" s="2"/>
      <c r="W25" s="19"/>
    </row>
    <row r="26" spans="1:23" x14ac:dyDescent="0.25">
      <c r="A26" s="6" t="s">
        <v>41</v>
      </c>
      <c r="B26" s="6"/>
      <c r="C26" s="6"/>
      <c r="D26" s="6"/>
      <c r="E26" s="7"/>
      <c r="F26" s="6"/>
      <c r="G26" s="6"/>
      <c r="H26" s="6"/>
      <c r="I26" s="6"/>
      <c r="J26" s="6"/>
      <c r="K26" s="6"/>
      <c r="L26" s="6"/>
      <c r="M26" s="6"/>
      <c r="N26" s="6"/>
      <c r="O26" s="6"/>
      <c r="P26" s="6"/>
      <c r="Q26" s="6"/>
      <c r="R26" s="6"/>
      <c r="S26" s="6"/>
      <c r="T26" s="7"/>
      <c r="U26" s="18"/>
      <c r="V26" s="6"/>
      <c r="W26" s="18"/>
    </row>
    <row r="27" spans="1:23" x14ac:dyDescent="0.25">
      <c r="A27" s="2" t="s">
        <v>42</v>
      </c>
      <c r="B27" s="2"/>
      <c r="C27" s="2"/>
      <c r="D27" s="2"/>
      <c r="E27" s="3"/>
      <c r="F27" s="2"/>
      <c r="G27" s="2"/>
      <c r="I27" s="2"/>
      <c r="J27" s="2"/>
      <c r="K27" s="2"/>
      <c r="L27" s="2"/>
      <c r="M27" s="2"/>
      <c r="N27" s="2"/>
      <c r="O27" s="2"/>
      <c r="P27" s="2"/>
      <c r="Q27" s="2"/>
      <c r="R27" s="2"/>
      <c r="S27" s="2"/>
      <c r="T27" s="3"/>
      <c r="U27" s="19"/>
      <c r="V27" s="2"/>
      <c r="W27" s="19"/>
    </row>
    <row r="28" spans="1:23" x14ac:dyDescent="0.25">
      <c r="A28" s="6" t="s">
        <v>43</v>
      </c>
      <c r="B28" s="6"/>
      <c r="C28" s="6"/>
      <c r="D28" s="6"/>
      <c r="E28" s="7"/>
      <c r="F28" s="6"/>
      <c r="G28" s="6"/>
      <c r="H28" s="6"/>
      <c r="I28" s="6"/>
      <c r="J28" s="6"/>
      <c r="K28" s="6"/>
      <c r="L28" s="6"/>
      <c r="M28" s="6"/>
      <c r="N28" s="6"/>
      <c r="O28" s="6"/>
      <c r="P28" s="6"/>
      <c r="Q28" s="6"/>
      <c r="R28" s="6"/>
      <c r="S28" s="6"/>
      <c r="T28" s="7"/>
      <c r="U28" s="18"/>
      <c r="V28" s="6"/>
      <c r="W28" s="18"/>
    </row>
    <row r="29" spans="1:23" x14ac:dyDescent="0.25">
      <c r="A29" s="2" t="s">
        <v>44</v>
      </c>
      <c r="B29" s="2"/>
      <c r="C29" s="2"/>
      <c r="D29" s="2"/>
      <c r="E29" s="3"/>
      <c r="F29" s="2"/>
      <c r="G29" s="2"/>
      <c r="H29" s="2"/>
      <c r="I29" s="2"/>
      <c r="J29" s="2"/>
      <c r="K29" s="2"/>
      <c r="L29" s="2"/>
      <c r="M29" s="2"/>
      <c r="N29" s="2"/>
      <c r="O29" s="2"/>
      <c r="P29" s="2"/>
      <c r="Q29" s="2"/>
      <c r="R29" s="2"/>
      <c r="S29" s="2"/>
      <c r="T29" s="3"/>
      <c r="U29" s="19"/>
      <c r="V29" s="2"/>
      <c r="W29" s="19"/>
    </row>
    <row r="30" spans="1:23" x14ac:dyDescent="0.25">
      <c r="A30" s="6" t="s">
        <v>45</v>
      </c>
      <c r="B30" s="6"/>
      <c r="C30" s="6"/>
      <c r="D30" s="6"/>
      <c r="E30" s="7"/>
      <c r="F30" s="6"/>
      <c r="G30" s="6"/>
      <c r="H30" s="6"/>
      <c r="I30" s="6"/>
      <c r="J30" s="6"/>
      <c r="K30" s="6"/>
      <c r="L30" s="6"/>
      <c r="M30" s="6"/>
      <c r="N30" s="6"/>
      <c r="O30" s="6"/>
      <c r="P30" s="6"/>
      <c r="Q30" s="6"/>
      <c r="R30" s="6"/>
      <c r="S30" s="6"/>
      <c r="T30" s="7"/>
      <c r="U30" s="18"/>
      <c r="V30" s="6"/>
      <c r="W30" s="18"/>
    </row>
    <row r="31" spans="1:23" x14ac:dyDescent="0.25">
      <c r="A31" s="2" t="s">
        <v>46</v>
      </c>
      <c r="B31" s="2"/>
      <c r="C31" s="2"/>
      <c r="D31" s="2"/>
      <c r="E31" s="3"/>
      <c r="F31" s="2"/>
      <c r="G31" s="2"/>
      <c r="H31" s="2"/>
      <c r="I31" s="2"/>
      <c r="J31" s="2"/>
      <c r="K31" s="2"/>
      <c r="L31" s="2"/>
      <c r="M31" s="2"/>
      <c r="N31" s="2"/>
      <c r="O31" s="2"/>
      <c r="P31" s="2"/>
      <c r="Q31" s="2"/>
      <c r="R31" s="2"/>
      <c r="S31" s="2"/>
      <c r="T31" s="3"/>
      <c r="U31" s="19"/>
      <c r="V31" s="2"/>
      <c r="W31" s="19"/>
    </row>
    <row r="32" spans="1:23" x14ac:dyDescent="0.25">
      <c r="A32" s="6" t="s">
        <v>47</v>
      </c>
      <c r="B32" s="6"/>
      <c r="C32" s="6"/>
      <c r="D32" s="6"/>
      <c r="E32" s="7"/>
      <c r="F32" s="6"/>
      <c r="G32" s="6"/>
      <c r="H32" s="6"/>
      <c r="I32" s="6"/>
      <c r="J32" s="6"/>
      <c r="K32" s="6"/>
      <c r="L32" s="6"/>
      <c r="M32" s="6"/>
      <c r="N32" s="6"/>
      <c r="O32" s="6"/>
      <c r="P32" s="6"/>
      <c r="Q32" s="6"/>
      <c r="R32" s="6"/>
      <c r="S32" s="6"/>
      <c r="T32" s="7"/>
      <c r="U32" s="18"/>
      <c r="V32" s="6"/>
      <c r="W32" s="18"/>
    </row>
    <row r="33" spans="1:23" x14ac:dyDescent="0.25">
      <c r="A33" s="2" t="s">
        <v>48</v>
      </c>
      <c r="B33" s="2"/>
      <c r="C33" s="2"/>
      <c r="D33" s="2"/>
      <c r="E33" s="3"/>
      <c r="F33" s="2"/>
      <c r="G33" s="2"/>
      <c r="H33" s="2"/>
      <c r="I33" s="2"/>
      <c r="J33" s="2"/>
      <c r="K33" s="2"/>
      <c r="L33" s="2"/>
      <c r="M33" s="2"/>
      <c r="N33" s="2"/>
      <c r="O33" s="2"/>
      <c r="P33" s="2"/>
      <c r="Q33" s="2"/>
      <c r="R33" s="2"/>
      <c r="S33" s="2"/>
      <c r="T33" s="3"/>
      <c r="U33" s="19"/>
      <c r="V33" s="2"/>
      <c r="W33" s="19"/>
    </row>
    <row r="34" spans="1:23" x14ac:dyDescent="0.25">
      <c r="A34" s="6" t="s">
        <v>49</v>
      </c>
      <c r="B34" s="6"/>
      <c r="C34" s="6"/>
      <c r="D34" s="6"/>
      <c r="E34" s="7"/>
      <c r="F34" s="6"/>
      <c r="G34" s="6"/>
      <c r="H34" s="6"/>
      <c r="I34" s="6"/>
      <c r="J34" s="6"/>
      <c r="K34" s="6"/>
      <c r="L34" s="6"/>
      <c r="M34" s="6"/>
      <c r="N34" s="6"/>
      <c r="O34" s="6"/>
      <c r="P34" s="6"/>
      <c r="Q34" s="6"/>
      <c r="R34" s="6"/>
      <c r="S34" s="6"/>
      <c r="T34" s="7"/>
      <c r="U34" s="18"/>
      <c r="V34" s="6"/>
      <c r="W34" s="18"/>
    </row>
    <row r="35" spans="1:23" x14ac:dyDescent="0.25">
      <c r="A35" s="2" t="s">
        <v>50</v>
      </c>
      <c r="B35" s="2"/>
      <c r="C35" s="2"/>
      <c r="D35" s="2"/>
      <c r="E35" s="3"/>
      <c r="F35" s="2"/>
      <c r="G35" s="2"/>
      <c r="H35" s="2"/>
      <c r="I35" s="2"/>
      <c r="J35" s="2"/>
      <c r="K35" s="2"/>
      <c r="L35" s="2"/>
      <c r="M35" s="2"/>
      <c r="N35" s="2"/>
      <c r="O35" s="2"/>
      <c r="P35" s="2"/>
      <c r="Q35" s="2"/>
      <c r="R35" s="2"/>
      <c r="S35" s="2"/>
      <c r="T35" s="3"/>
      <c r="U35" s="19"/>
      <c r="V35" s="2"/>
      <c r="W35" s="19"/>
    </row>
    <row r="36" spans="1:23" x14ac:dyDescent="0.25">
      <c r="A36" s="6" t="s">
        <v>51</v>
      </c>
      <c r="B36" s="6"/>
      <c r="C36" s="6"/>
      <c r="D36" s="6"/>
      <c r="E36" s="7"/>
      <c r="F36" s="6"/>
      <c r="G36" s="6"/>
      <c r="H36" s="6"/>
      <c r="I36" s="6"/>
      <c r="J36" s="6"/>
      <c r="K36" s="6"/>
      <c r="L36" s="6"/>
      <c r="M36" s="6"/>
      <c r="N36" s="6"/>
      <c r="O36" s="6"/>
      <c r="P36" s="6"/>
      <c r="Q36" s="6"/>
      <c r="R36" s="6"/>
      <c r="S36" s="6"/>
      <c r="T36" s="7"/>
      <c r="U36" s="18"/>
      <c r="V36" s="6"/>
      <c r="W36" s="18"/>
    </row>
    <row r="37" spans="1:23" x14ac:dyDescent="0.25">
      <c r="A37" s="2" t="s">
        <v>52</v>
      </c>
      <c r="B37" s="2"/>
      <c r="C37" s="2"/>
      <c r="D37" s="2"/>
      <c r="E37" s="3"/>
      <c r="F37" s="2"/>
      <c r="G37" s="2"/>
      <c r="H37" s="2"/>
      <c r="I37" s="2"/>
      <c r="J37" s="2"/>
      <c r="K37" s="2"/>
      <c r="L37" s="2"/>
      <c r="M37" s="2"/>
      <c r="N37" s="2"/>
      <c r="O37" s="2"/>
      <c r="P37" s="2"/>
      <c r="Q37" s="2"/>
      <c r="R37" s="2"/>
      <c r="S37" s="2"/>
      <c r="T37" s="3"/>
      <c r="U37" s="19"/>
      <c r="V37" s="2"/>
      <c r="W37" s="19"/>
    </row>
    <row r="38" spans="1:23" x14ac:dyDescent="0.25">
      <c r="A38" s="6" t="s">
        <v>53</v>
      </c>
      <c r="B38" s="6"/>
      <c r="C38" s="6"/>
      <c r="D38" s="6"/>
      <c r="E38" s="7"/>
      <c r="F38" s="6"/>
      <c r="G38" s="6"/>
      <c r="H38" s="6"/>
      <c r="I38" s="6"/>
      <c r="J38" s="6"/>
      <c r="K38" s="6"/>
      <c r="L38" s="6"/>
      <c r="M38" s="6"/>
      <c r="N38" s="6"/>
      <c r="O38" s="6"/>
      <c r="P38" s="6"/>
      <c r="Q38" s="6"/>
      <c r="R38" s="6"/>
      <c r="S38" s="6"/>
      <c r="T38" s="7"/>
      <c r="U38" s="18"/>
      <c r="V38" s="6"/>
      <c r="W38" s="18"/>
    </row>
    <row r="39" spans="1:23" x14ac:dyDescent="0.25">
      <c r="A39" s="2" t="s">
        <v>54</v>
      </c>
      <c r="B39" s="2"/>
      <c r="C39" s="2"/>
      <c r="D39" s="2"/>
      <c r="E39" s="3"/>
      <c r="F39" s="2"/>
      <c r="G39" s="2"/>
      <c r="H39" s="2"/>
      <c r="I39" s="2"/>
      <c r="J39" s="2"/>
      <c r="K39" s="2"/>
      <c r="L39" s="2"/>
      <c r="M39" s="2"/>
      <c r="N39" s="2"/>
      <c r="O39" s="2"/>
      <c r="P39" s="2"/>
      <c r="Q39" s="2"/>
      <c r="R39" s="2"/>
      <c r="S39" s="2"/>
      <c r="T39" s="3"/>
      <c r="U39" s="19"/>
      <c r="V39" s="2"/>
      <c r="W39" s="19"/>
    </row>
    <row r="40" spans="1:23" x14ac:dyDescent="0.25">
      <c r="A40" s="6" t="s">
        <v>55</v>
      </c>
      <c r="B40" s="6"/>
      <c r="C40" s="6"/>
      <c r="D40" s="6"/>
      <c r="E40" s="7"/>
      <c r="F40" s="6"/>
      <c r="G40" s="6"/>
      <c r="H40" s="6"/>
      <c r="I40" s="6"/>
      <c r="J40" s="6"/>
      <c r="K40" s="6"/>
      <c r="L40" s="6"/>
      <c r="M40" s="6"/>
      <c r="N40" s="6"/>
      <c r="O40" s="6"/>
      <c r="P40" s="6"/>
      <c r="Q40" s="6"/>
      <c r="R40" s="6"/>
      <c r="S40" s="6"/>
      <c r="T40" s="7"/>
      <c r="U40" s="18"/>
      <c r="V40" s="6"/>
      <c r="W40" s="18"/>
    </row>
    <row r="41" spans="1:23" x14ac:dyDescent="0.25">
      <c r="A41" s="2" t="s">
        <v>56</v>
      </c>
      <c r="B41" s="2"/>
      <c r="C41" s="2"/>
      <c r="D41" s="2"/>
      <c r="E41" s="3"/>
      <c r="F41" s="2"/>
      <c r="G41" s="2"/>
      <c r="H41" s="2"/>
      <c r="I41" s="2"/>
      <c r="J41" s="2"/>
      <c r="K41" s="2"/>
      <c r="L41" s="2"/>
      <c r="M41" s="2"/>
      <c r="N41" s="2"/>
      <c r="O41" s="2"/>
      <c r="P41" s="2"/>
      <c r="Q41" s="2"/>
      <c r="R41" s="2"/>
      <c r="S41" s="2"/>
      <c r="T41" s="3"/>
      <c r="U41" s="19"/>
      <c r="V41" s="2"/>
      <c r="W41" s="19"/>
    </row>
    <row r="42" spans="1:23" x14ac:dyDescent="0.25">
      <c r="A42" s="6" t="s">
        <v>57</v>
      </c>
      <c r="B42" s="6"/>
      <c r="C42" s="6"/>
      <c r="D42" s="6"/>
      <c r="E42" s="7"/>
      <c r="F42" s="6"/>
      <c r="G42" s="6"/>
      <c r="H42" s="6"/>
      <c r="I42" s="6"/>
      <c r="J42" s="6"/>
      <c r="K42" s="6"/>
      <c r="L42" s="6"/>
      <c r="M42" s="6"/>
      <c r="N42" s="6"/>
      <c r="O42" s="6"/>
      <c r="P42" s="6"/>
      <c r="Q42" s="6"/>
      <c r="R42" s="6"/>
      <c r="S42" s="6"/>
      <c r="T42" s="7"/>
      <c r="U42" s="18"/>
      <c r="V42" s="6"/>
      <c r="W42" s="18"/>
    </row>
    <row r="43" spans="1:23" x14ac:dyDescent="0.25">
      <c r="A43" s="2" t="s">
        <v>58</v>
      </c>
      <c r="B43" s="2"/>
      <c r="C43" s="2"/>
      <c r="D43" s="2"/>
      <c r="E43" s="3"/>
      <c r="F43" s="2"/>
      <c r="G43" s="2"/>
      <c r="H43" s="2"/>
      <c r="I43" s="2"/>
      <c r="J43" s="2"/>
      <c r="K43" s="2"/>
      <c r="L43" s="2"/>
      <c r="M43" s="2"/>
      <c r="N43" s="2"/>
      <c r="O43" s="2"/>
      <c r="P43" s="2"/>
      <c r="Q43" s="2"/>
      <c r="R43" s="2"/>
      <c r="S43" s="2"/>
      <c r="T43" s="3"/>
      <c r="U43" s="19"/>
      <c r="V43" s="2"/>
      <c r="W43" s="19"/>
    </row>
    <row r="44" spans="1:23" x14ac:dyDescent="0.25">
      <c r="A44" s="6" t="s">
        <v>59</v>
      </c>
      <c r="B44" s="6"/>
      <c r="C44" s="6"/>
      <c r="D44" s="6"/>
      <c r="E44" s="7"/>
      <c r="F44" s="6"/>
      <c r="G44" s="6"/>
      <c r="H44" s="6"/>
      <c r="I44" s="6"/>
      <c r="J44" s="6"/>
      <c r="K44" s="6"/>
      <c r="L44" s="6"/>
      <c r="M44" s="6"/>
      <c r="N44" s="6"/>
      <c r="O44" s="6"/>
      <c r="P44" s="6"/>
      <c r="Q44" s="6"/>
      <c r="R44" s="6"/>
      <c r="S44" s="6"/>
      <c r="T44" s="7"/>
      <c r="U44" s="18"/>
      <c r="V44" s="6"/>
      <c r="W44" s="18"/>
    </row>
    <row r="45" spans="1:23" x14ac:dyDescent="0.25">
      <c r="A45" s="2" t="s">
        <v>60</v>
      </c>
      <c r="B45" s="2"/>
      <c r="C45" s="2"/>
      <c r="D45" s="2"/>
      <c r="E45" s="3"/>
      <c r="F45" s="2"/>
      <c r="G45" s="2"/>
      <c r="H45" s="2"/>
      <c r="I45" s="2"/>
      <c r="J45" s="2"/>
      <c r="K45" s="2"/>
      <c r="L45" s="2"/>
      <c r="M45" s="2"/>
      <c r="N45" s="2"/>
      <c r="O45" s="2"/>
      <c r="P45" s="2"/>
      <c r="Q45" s="2"/>
      <c r="R45" s="2"/>
      <c r="S45" s="2"/>
      <c r="T45" s="3"/>
      <c r="U45" s="19"/>
      <c r="V45" s="2"/>
      <c r="W45" s="19"/>
    </row>
    <row r="46" spans="1:23" x14ac:dyDescent="0.25">
      <c r="A46" s="6" t="s">
        <v>61</v>
      </c>
      <c r="B46" s="6"/>
      <c r="C46" s="6"/>
      <c r="D46" s="6"/>
      <c r="E46" s="7"/>
      <c r="F46" s="6"/>
      <c r="G46" s="6"/>
      <c r="H46" s="6"/>
      <c r="I46" s="6"/>
      <c r="J46" s="6"/>
      <c r="K46" s="6"/>
      <c r="L46" s="6"/>
      <c r="M46" s="6"/>
      <c r="N46" s="6"/>
      <c r="O46" s="6"/>
      <c r="P46" s="6"/>
      <c r="Q46" s="6"/>
      <c r="R46" s="6"/>
      <c r="S46" s="6"/>
      <c r="T46" s="7"/>
      <c r="U46" s="18"/>
      <c r="V46" s="6"/>
      <c r="W46" s="18"/>
    </row>
    <row r="47" spans="1:23" x14ac:dyDescent="0.25">
      <c r="A47" s="2" t="s">
        <v>62</v>
      </c>
      <c r="B47" s="2"/>
      <c r="C47" s="2"/>
      <c r="D47" s="2"/>
      <c r="E47" s="3"/>
      <c r="F47" s="2"/>
      <c r="G47" s="2"/>
      <c r="H47" s="2"/>
      <c r="I47" s="2"/>
      <c r="J47" s="2"/>
      <c r="K47" s="2"/>
      <c r="L47" s="2"/>
      <c r="M47" s="2"/>
      <c r="N47" s="2"/>
      <c r="O47" s="2"/>
      <c r="P47" s="2"/>
      <c r="Q47" s="2"/>
      <c r="R47" s="2"/>
      <c r="S47" s="2"/>
      <c r="T47" s="3"/>
      <c r="U47" s="19"/>
      <c r="V47" s="2"/>
      <c r="W47" s="19"/>
    </row>
    <row r="48" spans="1:23" x14ac:dyDescent="0.25">
      <c r="A48" s="6" t="s">
        <v>63</v>
      </c>
      <c r="B48" s="6"/>
      <c r="C48" s="6"/>
      <c r="D48" s="6"/>
      <c r="E48" s="7"/>
      <c r="F48" s="6"/>
      <c r="G48" s="6"/>
      <c r="H48" s="6"/>
      <c r="I48" s="6"/>
      <c r="J48" s="6"/>
      <c r="K48" s="6"/>
      <c r="L48" s="6"/>
      <c r="M48" s="6"/>
      <c r="N48" s="6"/>
      <c r="O48" s="6"/>
      <c r="P48" s="6"/>
      <c r="Q48" s="6"/>
      <c r="R48" s="6"/>
      <c r="S48" s="6"/>
      <c r="T48" s="7"/>
      <c r="U48" s="18"/>
      <c r="V48" s="6"/>
      <c r="W48" s="18"/>
    </row>
    <row r="49" spans="1:23" x14ac:dyDescent="0.25">
      <c r="A49" s="2" t="s">
        <v>64</v>
      </c>
      <c r="B49" s="2"/>
      <c r="C49" s="2"/>
      <c r="D49" s="2"/>
      <c r="E49" s="3"/>
      <c r="F49" s="2"/>
      <c r="G49" s="2"/>
      <c r="H49" s="2"/>
      <c r="I49" s="2"/>
      <c r="J49" s="2"/>
      <c r="K49" s="2"/>
      <c r="L49" s="2"/>
      <c r="M49" s="2"/>
      <c r="N49" s="2"/>
      <c r="O49" s="2"/>
      <c r="P49" s="2"/>
      <c r="Q49" s="2"/>
      <c r="R49" s="2"/>
      <c r="S49" s="2"/>
      <c r="T49" s="3"/>
      <c r="U49" s="19"/>
      <c r="V49" s="2"/>
      <c r="W49" s="19"/>
    </row>
    <row r="50" spans="1:23" x14ac:dyDescent="0.25">
      <c r="A50" s="6" t="s">
        <v>65</v>
      </c>
      <c r="B50" s="6"/>
      <c r="C50" s="6"/>
      <c r="D50" s="6"/>
      <c r="E50" s="7"/>
      <c r="F50" s="6"/>
      <c r="G50" s="6"/>
      <c r="H50" s="6"/>
      <c r="I50" s="6"/>
      <c r="J50" s="6"/>
      <c r="K50" s="6"/>
      <c r="L50" s="6"/>
      <c r="M50" s="6"/>
      <c r="N50" s="6"/>
      <c r="O50" s="6"/>
      <c r="P50" s="6"/>
      <c r="Q50" s="6"/>
      <c r="R50" s="6"/>
      <c r="S50" s="6"/>
      <c r="T50" s="7"/>
      <c r="U50" s="18"/>
      <c r="V50" s="6"/>
      <c r="W50" s="18"/>
    </row>
    <row r="51" spans="1:23" x14ac:dyDescent="0.25">
      <c r="A51" s="2" t="s">
        <v>66</v>
      </c>
      <c r="B51" s="2"/>
      <c r="C51" s="2"/>
      <c r="D51" s="2"/>
      <c r="E51" s="3"/>
      <c r="F51" s="2"/>
      <c r="G51" s="2"/>
      <c r="H51" s="2"/>
      <c r="I51" s="2"/>
      <c r="J51" s="2"/>
      <c r="K51" s="2"/>
      <c r="L51" s="2"/>
      <c r="M51" s="2"/>
      <c r="N51" s="2"/>
      <c r="O51" s="2"/>
      <c r="P51" s="2"/>
      <c r="Q51" s="2"/>
      <c r="R51" s="2"/>
      <c r="S51" s="2"/>
      <c r="T51" s="3"/>
      <c r="U51" s="19"/>
      <c r="V51" s="2"/>
      <c r="W51" s="19"/>
    </row>
    <row r="52" spans="1:23" x14ac:dyDescent="0.25">
      <c r="A52" s="6" t="s">
        <v>67</v>
      </c>
      <c r="B52" s="6"/>
      <c r="C52" s="6"/>
      <c r="D52" s="6"/>
      <c r="E52" s="7"/>
      <c r="F52" s="6"/>
      <c r="G52" s="6"/>
      <c r="H52" s="6"/>
      <c r="I52" s="6"/>
      <c r="J52" s="6"/>
      <c r="K52" s="6"/>
      <c r="L52" s="6"/>
      <c r="M52" s="6"/>
      <c r="N52" s="6"/>
      <c r="O52" s="6"/>
      <c r="P52" s="6"/>
      <c r="Q52" s="6"/>
      <c r="R52" s="6"/>
      <c r="S52" s="6"/>
      <c r="T52" s="7"/>
      <c r="U52" s="18"/>
      <c r="V52" s="6"/>
      <c r="W52" s="18"/>
    </row>
    <row r="53" spans="1:23" x14ac:dyDescent="0.25">
      <c r="A53" s="2" t="s">
        <v>68</v>
      </c>
      <c r="B53" s="2"/>
      <c r="C53" s="2"/>
      <c r="D53" s="2"/>
      <c r="E53" s="3"/>
      <c r="F53" s="2"/>
      <c r="G53" s="2"/>
      <c r="H53" s="2"/>
      <c r="I53" s="2"/>
      <c r="J53" s="2"/>
      <c r="K53" s="2"/>
      <c r="L53" s="2"/>
      <c r="M53" s="2"/>
      <c r="N53" s="2"/>
      <c r="O53" s="2"/>
      <c r="P53" s="2"/>
      <c r="Q53" s="2"/>
      <c r="R53" s="2"/>
      <c r="S53" s="2"/>
      <c r="T53" s="3"/>
      <c r="U53" s="19"/>
      <c r="V53" s="2"/>
      <c r="W53" s="19"/>
    </row>
    <row r="54" spans="1:23" x14ac:dyDescent="0.25">
      <c r="A54" s="6" t="s">
        <v>69</v>
      </c>
      <c r="B54" s="6"/>
      <c r="C54" s="6"/>
      <c r="D54" s="6"/>
      <c r="E54" s="7"/>
      <c r="F54" s="6"/>
      <c r="G54" s="6"/>
      <c r="H54" s="6"/>
      <c r="I54" s="6"/>
      <c r="J54" s="6"/>
      <c r="K54" s="6"/>
      <c r="L54" s="6"/>
      <c r="M54" s="6"/>
      <c r="N54" s="6"/>
      <c r="O54" s="6"/>
      <c r="P54" s="6"/>
      <c r="Q54" s="6"/>
      <c r="R54" s="6"/>
      <c r="S54" s="6"/>
      <c r="T54" s="7"/>
      <c r="U54" s="18"/>
      <c r="V54" s="6"/>
      <c r="W54" s="18"/>
    </row>
    <row r="55" spans="1:23" x14ac:dyDescent="0.25">
      <c r="A55" s="2" t="s">
        <v>70</v>
      </c>
      <c r="B55" s="2"/>
      <c r="C55" s="2"/>
      <c r="D55" s="2"/>
      <c r="E55" s="3"/>
      <c r="F55" s="2"/>
      <c r="G55" s="2"/>
      <c r="H55" s="2"/>
      <c r="I55" s="2"/>
      <c r="J55" s="2"/>
      <c r="K55" s="2"/>
      <c r="L55" s="2"/>
      <c r="M55" s="2"/>
      <c r="N55" s="2"/>
      <c r="O55" s="2"/>
      <c r="P55" s="2"/>
      <c r="Q55" s="2"/>
      <c r="R55" s="2"/>
      <c r="S55" s="2"/>
      <c r="T55" s="3"/>
      <c r="U55" s="19"/>
      <c r="V55" s="2"/>
      <c r="W55" s="19"/>
    </row>
    <row r="56" spans="1:23" x14ac:dyDescent="0.25">
      <c r="A56" s="6" t="s">
        <v>71</v>
      </c>
      <c r="B56" s="6"/>
      <c r="C56" s="6"/>
      <c r="D56" s="6"/>
      <c r="E56" s="7"/>
      <c r="F56" s="6"/>
      <c r="G56" s="6"/>
      <c r="H56" s="6"/>
      <c r="I56" s="6"/>
      <c r="J56" s="6"/>
      <c r="K56" s="6"/>
      <c r="L56" s="6"/>
      <c r="M56" s="6"/>
      <c r="N56" s="6"/>
      <c r="O56" s="6"/>
      <c r="P56" s="6"/>
      <c r="Q56" s="6"/>
      <c r="R56" s="6"/>
      <c r="S56" s="6"/>
      <c r="T56" s="7"/>
      <c r="U56" s="18"/>
      <c r="V56" s="6"/>
      <c r="W56" s="18"/>
    </row>
    <row r="57" spans="1:23" x14ac:dyDescent="0.25">
      <c r="A57" s="2" t="s">
        <v>72</v>
      </c>
      <c r="B57" s="2"/>
      <c r="C57" s="2"/>
      <c r="D57" s="2"/>
      <c r="E57" s="3"/>
      <c r="F57" s="2"/>
      <c r="G57" s="2"/>
      <c r="H57" s="2"/>
      <c r="I57" s="2"/>
      <c r="J57" s="2"/>
      <c r="K57" s="2"/>
      <c r="L57" s="2"/>
      <c r="M57" s="2"/>
      <c r="N57" s="2"/>
      <c r="O57" s="2"/>
      <c r="P57" s="2"/>
      <c r="Q57" s="2"/>
      <c r="R57" s="2"/>
      <c r="S57" s="2"/>
      <c r="T57" s="3"/>
      <c r="U57" s="19"/>
      <c r="V57" s="2"/>
      <c r="W57" s="19"/>
    </row>
    <row r="58" spans="1:23" x14ac:dyDescent="0.25">
      <c r="A58" s="6" t="s">
        <v>73</v>
      </c>
      <c r="B58" s="6"/>
      <c r="C58" s="6"/>
      <c r="D58" s="6"/>
      <c r="E58" s="7"/>
      <c r="F58" s="6"/>
      <c r="G58" s="6"/>
      <c r="H58" s="6"/>
      <c r="I58" s="6"/>
      <c r="J58" s="6"/>
      <c r="K58" s="6"/>
      <c r="L58" s="6"/>
      <c r="M58" s="6"/>
      <c r="N58" s="6"/>
      <c r="O58" s="6"/>
      <c r="P58" s="6"/>
      <c r="Q58" s="6"/>
      <c r="R58" s="6"/>
      <c r="S58" s="6"/>
      <c r="T58" s="7"/>
      <c r="U58" s="18"/>
      <c r="V58" s="6"/>
      <c r="W58" s="18"/>
    </row>
    <row r="59" spans="1:23" x14ac:dyDescent="0.25">
      <c r="A59" s="2" t="s">
        <v>74</v>
      </c>
      <c r="B59" s="2"/>
      <c r="C59" s="2"/>
      <c r="D59" s="2"/>
      <c r="E59" s="3"/>
      <c r="F59" s="2"/>
      <c r="G59" s="2"/>
      <c r="H59" s="2"/>
      <c r="I59" s="2"/>
      <c r="J59" s="2"/>
      <c r="K59" s="2"/>
      <c r="L59" s="2"/>
      <c r="M59" s="2"/>
      <c r="N59" s="2"/>
      <c r="O59" s="2"/>
      <c r="P59" s="2"/>
      <c r="Q59" s="2"/>
      <c r="R59" s="2"/>
      <c r="S59" s="2"/>
      <c r="T59" s="3"/>
      <c r="U59" s="19"/>
      <c r="V59" s="2"/>
      <c r="W59" s="19"/>
    </row>
    <row r="60" spans="1:23" x14ac:dyDescent="0.25">
      <c r="A60" s="6" t="s">
        <v>75</v>
      </c>
      <c r="B60" s="6"/>
      <c r="C60" s="6"/>
      <c r="D60" s="6"/>
      <c r="E60" s="7"/>
      <c r="F60" s="6"/>
      <c r="G60" s="6"/>
      <c r="H60" s="6"/>
      <c r="I60" s="6"/>
      <c r="J60" s="6"/>
      <c r="K60" s="6"/>
      <c r="L60" s="6"/>
      <c r="M60" s="6"/>
      <c r="N60" s="6"/>
      <c r="O60" s="6"/>
      <c r="P60" s="6"/>
      <c r="Q60" s="6"/>
      <c r="R60" s="6"/>
      <c r="S60" s="6"/>
      <c r="T60" s="7"/>
      <c r="U60" s="18"/>
      <c r="V60" s="6"/>
      <c r="W60" s="18"/>
    </row>
    <row r="61" spans="1:23" x14ac:dyDescent="0.25">
      <c r="A61" s="2" t="s">
        <v>76</v>
      </c>
      <c r="B61" s="2"/>
      <c r="C61" s="2"/>
      <c r="D61" s="2"/>
      <c r="E61" s="3"/>
      <c r="F61" s="2"/>
      <c r="G61" s="2"/>
      <c r="H61" s="2"/>
      <c r="I61" s="2"/>
      <c r="J61" s="2"/>
      <c r="K61" s="2"/>
      <c r="L61" s="2"/>
      <c r="M61" s="2"/>
      <c r="N61" s="2"/>
      <c r="O61" s="2"/>
      <c r="P61" s="2"/>
      <c r="Q61" s="2"/>
      <c r="R61" s="2"/>
      <c r="S61" s="2"/>
      <c r="T61" s="3"/>
      <c r="U61" s="19"/>
      <c r="V61" s="2"/>
      <c r="W61" s="19"/>
    </row>
    <row r="62" spans="1:23" x14ac:dyDescent="0.25">
      <c r="A62" s="6" t="s">
        <v>77</v>
      </c>
      <c r="B62" s="6"/>
      <c r="C62" s="6"/>
      <c r="D62" s="6"/>
      <c r="E62" s="7"/>
      <c r="F62" s="6"/>
      <c r="G62" s="6"/>
      <c r="H62" s="6"/>
      <c r="I62" s="6"/>
      <c r="J62" s="6"/>
      <c r="K62" s="6"/>
      <c r="L62" s="6"/>
      <c r="M62" s="6"/>
      <c r="N62" s="6"/>
      <c r="O62" s="6"/>
      <c r="P62" s="6"/>
      <c r="Q62" s="6"/>
      <c r="R62" s="6"/>
      <c r="S62" s="6"/>
      <c r="T62" s="7"/>
      <c r="U62" s="18"/>
      <c r="V62" s="6"/>
      <c r="W62" s="18"/>
    </row>
    <row r="63" spans="1:23" x14ac:dyDescent="0.25">
      <c r="A63" s="2" t="s">
        <v>78</v>
      </c>
      <c r="B63" s="2"/>
      <c r="C63" s="2"/>
      <c r="D63" s="2"/>
      <c r="E63" s="3"/>
      <c r="F63" s="2"/>
      <c r="G63" s="2"/>
      <c r="H63" s="2"/>
      <c r="I63" s="2"/>
      <c r="J63" s="2"/>
      <c r="K63" s="2"/>
      <c r="L63" s="2"/>
      <c r="M63" s="2"/>
      <c r="N63" s="2"/>
      <c r="O63" s="2"/>
      <c r="P63" s="2"/>
      <c r="Q63" s="2"/>
      <c r="R63" s="2"/>
      <c r="S63" s="2"/>
      <c r="T63" s="3"/>
      <c r="U63" s="19"/>
      <c r="V63" s="2"/>
      <c r="W63" s="19"/>
    </row>
    <row r="64" spans="1:23" x14ac:dyDescent="0.25">
      <c r="A64" s="6" t="s">
        <v>79</v>
      </c>
      <c r="B64" s="6"/>
      <c r="C64" s="6"/>
      <c r="D64" s="6"/>
      <c r="E64" s="7"/>
      <c r="F64" s="6"/>
      <c r="G64" s="6"/>
      <c r="H64" s="6"/>
      <c r="I64" s="6"/>
      <c r="J64" s="6"/>
      <c r="K64" s="6"/>
      <c r="L64" s="6"/>
      <c r="M64" s="6"/>
      <c r="N64" s="6"/>
      <c r="O64" s="6"/>
      <c r="P64" s="6"/>
      <c r="Q64" s="6"/>
      <c r="R64" s="6"/>
      <c r="S64" s="6"/>
      <c r="T64" s="7"/>
      <c r="U64" s="18"/>
      <c r="V64" s="6"/>
      <c r="W64" s="18"/>
    </row>
    <row r="65" spans="1:23" x14ac:dyDescent="0.25">
      <c r="A65" s="2" t="s">
        <v>80</v>
      </c>
      <c r="B65" s="2"/>
      <c r="C65" s="2"/>
      <c r="D65" s="2"/>
      <c r="E65" s="3"/>
      <c r="F65" s="2"/>
      <c r="G65" s="2"/>
      <c r="H65" s="2"/>
      <c r="I65" s="2"/>
      <c r="J65" s="2"/>
      <c r="K65" s="2"/>
      <c r="L65" s="2"/>
      <c r="M65" s="2"/>
      <c r="N65" s="2"/>
      <c r="O65" s="2"/>
      <c r="P65" s="2"/>
      <c r="Q65" s="2"/>
      <c r="R65" s="2"/>
      <c r="S65" s="2"/>
      <c r="T65" s="3"/>
      <c r="U65" s="19"/>
      <c r="V65" s="2"/>
      <c r="W65" s="19"/>
    </row>
    <row r="66" spans="1:23" x14ac:dyDescent="0.25">
      <c r="A66" s="6" t="s">
        <v>81</v>
      </c>
      <c r="B66" s="6"/>
      <c r="C66" s="6"/>
      <c r="D66" s="6"/>
      <c r="E66" s="7"/>
      <c r="F66" s="6"/>
      <c r="G66" s="6"/>
      <c r="H66" s="6"/>
      <c r="I66" s="6"/>
      <c r="J66" s="6"/>
      <c r="K66" s="6"/>
      <c r="L66" s="6"/>
      <c r="M66" s="6"/>
      <c r="N66" s="6"/>
      <c r="O66" s="6"/>
      <c r="P66" s="6"/>
      <c r="Q66" s="6"/>
      <c r="R66" s="6"/>
      <c r="S66" s="6"/>
      <c r="T66" s="7"/>
      <c r="U66" s="18"/>
      <c r="V66" s="6"/>
      <c r="W66" s="18"/>
    </row>
    <row r="67" spans="1:23" x14ac:dyDescent="0.25">
      <c r="A67" s="2" t="s">
        <v>82</v>
      </c>
      <c r="B67" s="2"/>
      <c r="C67" s="2"/>
      <c r="D67" s="2"/>
      <c r="E67" s="3"/>
      <c r="F67" s="2"/>
      <c r="G67" s="2"/>
      <c r="H67" s="2"/>
      <c r="I67" s="2"/>
      <c r="J67" s="2"/>
      <c r="K67" s="2"/>
      <c r="L67" s="2"/>
      <c r="M67" s="2"/>
      <c r="N67" s="2"/>
      <c r="O67" s="2"/>
      <c r="P67" s="2"/>
      <c r="Q67" s="2"/>
      <c r="R67" s="2"/>
      <c r="S67" s="2"/>
      <c r="T67" s="3"/>
      <c r="U67" s="19"/>
      <c r="V67" s="2"/>
      <c r="W67" s="19"/>
    </row>
    <row r="68" spans="1:23" x14ac:dyDescent="0.25">
      <c r="A68" s="6" t="s">
        <v>83</v>
      </c>
      <c r="B68" s="6"/>
      <c r="C68" s="6"/>
      <c r="D68" s="6"/>
      <c r="E68" s="7"/>
      <c r="F68" s="6"/>
      <c r="G68" s="6"/>
      <c r="H68" s="6"/>
      <c r="I68" s="6"/>
      <c r="J68" s="6"/>
      <c r="K68" s="6"/>
      <c r="L68" s="6"/>
      <c r="M68" s="6"/>
      <c r="N68" s="6"/>
      <c r="O68" s="6"/>
      <c r="P68" s="6"/>
      <c r="Q68" s="6"/>
      <c r="R68" s="6"/>
      <c r="S68" s="6"/>
      <c r="T68" s="7"/>
      <c r="U68" s="18"/>
      <c r="V68" s="6"/>
      <c r="W68" s="18"/>
    </row>
    <row r="69" spans="1:23" x14ac:dyDescent="0.25">
      <c r="A69" s="2" t="s">
        <v>84</v>
      </c>
      <c r="B69" s="2"/>
      <c r="C69" s="2"/>
      <c r="D69" s="2"/>
      <c r="E69" s="3"/>
      <c r="F69" s="2"/>
      <c r="G69" s="2"/>
      <c r="H69" s="2"/>
      <c r="I69" s="2"/>
      <c r="J69" s="2"/>
      <c r="K69" s="2"/>
      <c r="L69" s="2"/>
      <c r="M69" s="2"/>
      <c r="N69" s="2"/>
      <c r="O69" s="2"/>
      <c r="P69" s="2"/>
      <c r="Q69" s="2"/>
      <c r="R69" s="2"/>
      <c r="S69" s="2"/>
      <c r="T69" s="3"/>
      <c r="U69" s="19"/>
      <c r="V69" s="2"/>
      <c r="W69" s="19"/>
    </row>
    <row r="70" spans="1:23" x14ac:dyDescent="0.25">
      <c r="A70" s="6" t="s">
        <v>85</v>
      </c>
      <c r="B70" s="6"/>
      <c r="C70" s="6"/>
      <c r="D70" s="6"/>
      <c r="E70" s="7"/>
      <c r="F70" s="6"/>
      <c r="G70" s="6"/>
      <c r="H70" s="6"/>
      <c r="I70" s="6"/>
      <c r="J70" s="6"/>
      <c r="K70" s="6"/>
      <c r="L70" s="6"/>
      <c r="M70" s="6"/>
      <c r="N70" s="6"/>
      <c r="O70" s="6"/>
      <c r="P70" s="6"/>
      <c r="Q70" s="6"/>
      <c r="R70" s="6"/>
      <c r="S70" s="6"/>
      <c r="T70" s="7"/>
      <c r="U70" s="18"/>
      <c r="V70" s="6"/>
      <c r="W70" s="18"/>
    </row>
    <row r="71" spans="1:23" x14ac:dyDescent="0.25">
      <c r="A71" s="2" t="s">
        <v>86</v>
      </c>
      <c r="B71" s="2"/>
      <c r="C71" s="2"/>
      <c r="D71" s="2"/>
      <c r="E71" s="3"/>
      <c r="F71" s="2"/>
      <c r="G71" s="2"/>
      <c r="H71" s="2"/>
      <c r="I71" s="2"/>
      <c r="J71" s="2"/>
      <c r="K71" s="2"/>
      <c r="L71" s="2"/>
      <c r="M71" s="2"/>
      <c r="N71" s="2"/>
      <c r="O71" s="2"/>
      <c r="P71" s="2"/>
      <c r="Q71" s="2"/>
      <c r="R71" s="2"/>
      <c r="S71" s="2"/>
      <c r="T71" s="3"/>
      <c r="U71" s="19"/>
      <c r="V71" s="2"/>
      <c r="W71" s="19"/>
    </row>
    <row r="72" spans="1:23" x14ac:dyDescent="0.25">
      <c r="A72" s="6" t="s">
        <v>87</v>
      </c>
      <c r="B72" s="6"/>
      <c r="C72" s="6"/>
      <c r="D72" s="6"/>
      <c r="E72" s="7"/>
      <c r="F72" s="6"/>
      <c r="G72" s="6"/>
      <c r="H72" s="6"/>
      <c r="I72" s="6"/>
      <c r="J72" s="6"/>
      <c r="K72" s="6"/>
      <c r="L72" s="6"/>
      <c r="M72" s="6"/>
      <c r="N72" s="6"/>
      <c r="O72" s="6"/>
      <c r="P72" s="6"/>
      <c r="Q72" s="6"/>
      <c r="R72" s="6"/>
      <c r="S72" s="6"/>
      <c r="T72" s="7"/>
      <c r="U72" s="18"/>
      <c r="V72" s="6"/>
      <c r="W72" s="18"/>
    </row>
    <row r="73" spans="1:23" x14ac:dyDescent="0.25">
      <c r="A73" s="2" t="s">
        <v>88</v>
      </c>
      <c r="B73" s="2"/>
      <c r="C73" s="2"/>
      <c r="D73" s="2"/>
      <c r="E73" s="3"/>
      <c r="F73" s="2"/>
      <c r="G73" s="2"/>
      <c r="H73" s="2"/>
      <c r="I73" s="2"/>
      <c r="J73" s="2"/>
      <c r="K73" s="2"/>
      <c r="L73" s="2"/>
      <c r="M73" s="2"/>
      <c r="N73" s="2"/>
      <c r="O73" s="2"/>
      <c r="P73" s="2"/>
      <c r="Q73" s="2"/>
      <c r="R73" s="2"/>
      <c r="S73" s="2"/>
      <c r="T73" s="3"/>
      <c r="U73" s="19"/>
      <c r="V73" s="2"/>
      <c r="W73" s="19"/>
    </row>
    <row r="74" spans="1:23" x14ac:dyDescent="0.25">
      <c r="A74" s="6" t="s">
        <v>89</v>
      </c>
      <c r="B74" s="6"/>
      <c r="C74" s="6"/>
      <c r="D74" s="6"/>
      <c r="E74" s="7"/>
      <c r="F74" s="6"/>
      <c r="G74" s="6"/>
      <c r="H74" s="6"/>
      <c r="I74" s="6"/>
      <c r="J74" s="6"/>
      <c r="K74" s="6"/>
      <c r="L74" s="6"/>
      <c r="M74" s="6"/>
      <c r="N74" s="6"/>
      <c r="O74" s="6"/>
      <c r="P74" s="6"/>
      <c r="Q74" s="6"/>
      <c r="R74" s="6"/>
      <c r="S74" s="6"/>
      <c r="T74" s="7"/>
      <c r="U74" s="18"/>
      <c r="V74" s="6"/>
      <c r="W74" s="18"/>
    </row>
    <row r="75" spans="1:23" x14ac:dyDescent="0.25">
      <c r="A75" s="2" t="s">
        <v>90</v>
      </c>
      <c r="B75" s="2"/>
      <c r="C75" s="2"/>
      <c r="D75" s="2"/>
      <c r="E75" s="3"/>
      <c r="F75" s="2"/>
      <c r="G75" s="2"/>
      <c r="H75" s="2"/>
      <c r="I75" s="2"/>
      <c r="J75" s="2"/>
      <c r="K75" s="2"/>
      <c r="L75" s="2"/>
      <c r="M75" s="2"/>
      <c r="N75" s="2"/>
      <c r="O75" s="2"/>
      <c r="P75" s="2"/>
      <c r="Q75" s="2"/>
      <c r="R75" s="2"/>
      <c r="S75" s="2"/>
      <c r="T75" s="3"/>
      <c r="U75" s="19"/>
      <c r="V75" s="2"/>
      <c r="W75" s="19"/>
    </row>
    <row r="76" spans="1:23" x14ac:dyDescent="0.25">
      <c r="A76" s="6" t="s">
        <v>91</v>
      </c>
      <c r="B76" s="6"/>
      <c r="C76" s="6"/>
      <c r="D76" s="6"/>
      <c r="E76" s="7"/>
      <c r="F76" s="6"/>
      <c r="G76" s="6"/>
      <c r="H76" s="6"/>
      <c r="I76" s="6"/>
      <c r="J76" s="6"/>
      <c r="K76" s="6"/>
      <c r="L76" s="6"/>
      <c r="M76" s="6"/>
      <c r="N76" s="6"/>
      <c r="O76" s="6"/>
      <c r="P76" s="6"/>
      <c r="Q76" s="6"/>
      <c r="R76" s="6"/>
      <c r="S76" s="6"/>
      <c r="T76" s="7"/>
      <c r="U76" s="18"/>
      <c r="V76" s="6"/>
      <c r="W76" s="18"/>
    </row>
    <row r="77" spans="1:23" x14ac:dyDescent="0.25">
      <c r="A77" s="2" t="s">
        <v>92</v>
      </c>
      <c r="B77" s="2"/>
      <c r="C77" s="2"/>
      <c r="D77" s="2"/>
      <c r="E77" s="3"/>
      <c r="F77" s="2"/>
      <c r="G77" s="2"/>
      <c r="H77" s="2"/>
      <c r="I77" s="2"/>
      <c r="J77" s="2"/>
      <c r="K77" s="2"/>
      <c r="L77" s="2"/>
      <c r="M77" s="2"/>
      <c r="N77" s="2"/>
      <c r="O77" s="2"/>
      <c r="P77" s="2"/>
      <c r="Q77" s="2"/>
      <c r="R77" s="2"/>
      <c r="S77" s="2"/>
      <c r="T77" s="3"/>
      <c r="U77" s="19"/>
      <c r="V77" s="2"/>
      <c r="W77" s="19"/>
    </row>
    <row r="78" spans="1:23" x14ac:dyDescent="0.25">
      <c r="A78" s="6" t="s">
        <v>93</v>
      </c>
      <c r="B78" s="6"/>
      <c r="C78" s="6"/>
      <c r="D78" s="6"/>
      <c r="E78" s="7"/>
      <c r="F78" s="6"/>
      <c r="G78" s="6"/>
      <c r="H78" s="6"/>
      <c r="I78" s="6"/>
      <c r="J78" s="6"/>
      <c r="K78" s="6"/>
      <c r="L78" s="6"/>
      <c r="M78" s="6"/>
      <c r="N78" s="6"/>
      <c r="O78" s="6"/>
      <c r="P78" s="6"/>
      <c r="Q78" s="6"/>
      <c r="R78" s="6"/>
      <c r="S78" s="6"/>
      <c r="T78" s="7"/>
      <c r="U78" s="18"/>
      <c r="V78" s="6"/>
      <c r="W78" s="18"/>
    </row>
    <row r="79" spans="1:23" x14ac:dyDescent="0.25">
      <c r="A79" s="2" t="s">
        <v>94</v>
      </c>
      <c r="B79" s="2"/>
      <c r="C79" s="2"/>
      <c r="D79" s="2"/>
      <c r="E79" s="3"/>
      <c r="F79" s="2"/>
      <c r="G79" s="2"/>
      <c r="H79" s="2"/>
      <c r="I79" s="2"/>
      <c r="J79" s="2"/>
      <c r="K79" s="2"/>
      <c r="L79" s="2"/>
      <c r="M79" s="2"/>
      <c r="N79" s="2"/>
      <c r="O79" s="2"/>
      <c r="P79" s="2"/>
      <c r="Q79" s="2"/>
      <c r="R79" s="2"/>
      <c r="S79" s="2"/>
      <c r="T79" s="3"/>
      <c r="U79" s="19"/>
      <c r="V79" s="2"/>
      <c r="W79" s="19"/>
    </row>
    <row r="80" spans="1:23" x14ac:dyDescent="0.25">
      <c r="A80" s="6" t="s">
        <v>95</v>
      </c>
      <c r="B80" s="6"/>
      <c r="C80" s="6"/>
      <c r="D80" s="6"/>
      <c r="E80" s="7"/>
      <c r="F80" s="6"/>
      <c r="G80" s="6"/>
      <c r="H80" s="6"/>
      <c r="I80" s="6"/>
      <c r="J80" s="6"/>
      <c r="K80" s="6"/>
      <c r="L80" s="6"/>
      <c r="M80" s="6"/>
      <c r="N80" s="6"/>
      <c r="O80" s="6"/>
      <c r="P80" s="6"/>
      <c r="Q80" s="6"/>
      <c r="R80" s="6"/>
      <c r="S80" s="6"/>
      <c r="T80" s="7"/>
      <c r="U80" s="18"/>
      <c r="V80" s="6"/>
      <c r="W80" s="18"/>
    </row>
    <row r="81" spans="1:23" x14ac:dyDescent="0.25">
      <c r="A81" s="2" t="s">
        <v>96</v>
      </c>
      <c r="B81" s="2"/>
      <c r="C81" s="2"/>
      <c r="D81" s="2"/>
      <c r="E81" s="3"/>
      <c r="F81" s="2"/>
      <c r="G81" s="2"/>
      <c r="H81" s="2"/>
      <c r="I81" s="2"/>
      <c r="J81" s="2"/>
      <c r="K81" s="2"/>
      <c r="L81" s="2"/>
      <c r="M81" s="2"/>
      <c r="N81" s="2"/>
      <c r="O81" s="2"/>
      <c r="P81" s="2"/>
      <c r="Q81" s="2"/>
      <c r="R81" s="2"/>
      <c r="S81" s="2"/>
      <c r="T81" s="3"/>
      <c r="U81" s="19"/>
      <c r="V81" s="2"/>
      <c r="W81" s="19"/>
    </row>
    <row r="82" spans="1:23" x14ac:dyDescent="0.25">
      <c r="A82" s="6" t="s">
        <v>97</v>
      </c>
      <c r="B82" s="6"/>
      <c r="C82" s="6"/>
      <c r="D82" s="6"/>
      <c r="E82" s="7"/>
      <c r="F82" s="6"/>
      <c r="G82" s="6"/>
      <c r="H82" s="6"/>
      <c r="I82" s="6"/>
      <c r="J82" s="6"/>
      <c r="K82" s="6"/>
      <c r="L82" s="6"/>
      <c r="M82" s="6"/>
      <c r="N82" s="6"/>
      <c r="O82" s="6"/>
      <c r="P82" s="6"/>
      <c r="Q82" s="6"/>
      <c r="R82" s="6"/>
      <c r="S82" s="6"/>
      <c r="T82" s="7"/>
      <c r="U82" s="18"/>
      <c r="V82" s="6"/>
      <c r="W82" s="18"/>
    </row>
    <row r="83" spans="1:23" x14ac:dyDescent="0.25">
      <c r="A83" s="2" t="s">
        <v>98</v>
      </c>
      <c r="B83" s="2"/>
      <c r="C83" s="2"/>
      <c r="D83" s="2"/>
      <c r="E83" s="3"/>
      <c r="F83" s="2"/>
      <c r="G83" s="2"/>
      <c r="H83" s="2"/>
      <c r="I83" s="2"/>
      <c r="J83" s="2"/>
      <c r="K83" s="2"/>
      <c r="L83" s="2"/>
      <c r="M83" s="2"/>
      <c r="N83" s="2"/>
      <c r="O83" s="2"/>
      <c r="P83" s="2"/>
      <c r="Q83" s="2"/>
      <c r="R83" s="2"/>
      <c r="S83" s="2"/>
      <c r="T83" s="3"/>
      <c r="U83" s="19"/>
      <c r="V83" s="2"/>
      <c r="W83" s="19"/>
    </row>
    <row r="84" spans="1:23" x14ac:dyDescent="0.25">
      <c r="A84" s="6" t="s">
        <v>99</v>
      </c>
      <c r="B84" s="6"/>
      <c r="C84" s="6"/>
      <c r="D84" s="6"/>
      <c r="E84" s="7"/>
      <c r="F84" s="6"/>
      <c r="G84" s="6"/>
      <c r="H84" s="6"/>
      <c r="I84" s="6"/>
      <c r="J84" s="6"/>
      <c r="K84" s="6"/>
      <c r="L84" s="6"/>
      <c r="M84" s="6"/>
      <c r="N84" s="6"/>
      <c r="O84" s="6"/>
      <c r="P84" s="6"/>
      <c r="Q84" s="6"/>
      <c r="R84" s="6"/>
      <c r="S84" s="6"/>
      <c r="T84" s="7"/>
      <c r="U84" s="18"/>
      <c r="V84" s="6"/>
      <c r="W84" s="18"/>
    </row>
    <row r="85" spans="1:23" x14ac:dyDescent="0.25">
      <c r="A85" s="2" t="s">
        <v>100</v>
      </c>
      <c r="B85" s="2"/>
      <c r="C85" s="2"/>
      <c r="D85" s="2"/>
      <c r="E85" s="3"/>
      <c r="F85" s="2"/>
      <c r="G85" s="2"/>
      <c r="H85" s="2"/>
      <c r="I85" s="2"/>
      <c r="J85" s="2"/>
      <c r="K85" s="2"/>
      <c r="L85" s="2"/>
      <c r="M85" s="2"/>
      <c r="N85" s="2"/>
      <c r="O85" s="2"/>
      <c r="P85" s="2"/>
      <c r="Q85" s="2"/>
      <c r="R85" s="2"/>
      <c r="S85" s="2"/>
      <c r="T85" s="3"/>
      <c r="U85" s="19"/>
      <c r="V85" s="2"/>
      <c r="W85" s="19"/>
    </row>
    <row r="86" spans="1:23" x14ac:dyDescent="0.25">
      <c r="A86" s="6" t="s">
        <v>101</v>
      </c>
      <c r="B86" s="6"/>
      <c r="C86" s="6"/>
      <c r="D86" s="6"/>
      <c r="E86" s="7"/>
      <c r="F86" s="6"/>
      <c r="G86" s="6"/>
      <c r="H86" s="6"/>
      <c r="I86" s="6"/>
      <c r="J86" s="6"/>
      <c r="K86" s="6"/>
      <c r="L86" s="6"/>
      <c r="M86" s="6"/>
      <c r="N86" s="6"/>
      <c r="O86" s="6"/>
      <c r="P86" s="6"/>
      <c r="Q86" s="6"/>
      <c r="R86" s="6"/>
      <c r="S86" s="6"/>
      <c r="T86" s="7"/>
      <c r="U86" s="18"/>
      <c r="V86" s="6"/>
      <c r="W86" s="18"/>
    </row>
    <row r="87" spans="1:23" x14ac:dyDescent="0.25">
      <c r="A87" s="2" t="s">
        <v>102</v>
      </c>
      <c r="B87" s="2"/>
      <c r="C87" s="2"/>
      <c r="D87" s="2"/>
      <c r="E87" s="3"/>
      <c r="F87" s="2"/>
      <c r="G87" s="2"/>
      <c r="H87" s="2"/>
      <c r="I87" s="2"/>
      <c r="J87" s="2"/>
      <c r="K87" s="2"/>
      <c r="L87" s="2"/>
      <c r="M87" s="2"/>
      <c r="N87" s="2"/>
      <c r="O87" s="2"/>
      <c r="P87" s="2"/>
      <c r="Q87" s="2"/>
      <c r="R87" s="2"/>
      <c r="S87" s="2"/>
      <c r="T87" s="3"/>
      <c r="U87" s="19"/>
      <c r="V87" s="2"/>
      <c r="W87" s="19"/>
    </row>
    <row r="88" spans="1:23" x14ac:dyDescent="0.25">
      <c r="A88" s="6" t="s">
        <v>103</v>
      </c>
      <c r="B88" s="6"/>
      <c r="C88" s="6"/>
      <c r="D88" s="6"/>
      <c r="E88" s="7"/>
      <c r="F88" s="6"/>
      <c r="G88" s="6"/>
      <c r="H88" s="6"/>
      <c r="I88" s="6"/>
      <c r="J88" s="6"/>
      <c r="K88" s="6"/>
      <c r="L88" s="6"/>
      <c r="M88" s="6"/>
      <c r="N88" s="6"/>
      <c r="O88" s="6"/>
      <c r="P88" s="6"/>
      <c r="Q88" s="6"/>
      <c r="R88" s="6"/>
      <c r="S88" s="6"/>
      <c r="T88" s="7"/>
      <c r="U88" s="18"/>
      <c r="V88" s="6"/>
      <c r="W88" s="18"/>
    </row>
    <row r="89" spans="1:23" x14ac:dyDescent="0.25">
      <c r="A89" s="2" t="s">
        <v>104</v>
      </c>
      <c r="B89" s="2"/>
      <c r="C89" s="2"/>
      <c r="D89" s="2"/>
      <c r="E89" s="3"/>
      <c r="F89" s="2"/>
      <c r="G89" s="2"/>
      <c r="H89" s="2"/>
      <c r="I89" s="2"/>
      <c r="J89" s="2"/>
      <c r="K89" s="2"/>
      <c r="L89" s="2"/>
      <c r="M89" s="2"/>
      <c r="N89" s="2"/>
      <c r="O89" s="2"/>
      <c r="P89" s="2"/>
      <c r="Q89" s="2"/>
      <c r="R89" s="2"/>
      <c r="S89" s="2"/>
      <c r="T89" s="3"/>
      <c r="U89" s="19"/>
      <c r="V89" s="2"/>
      <c r="W89" s="19"/>
    </row>
    <row r="90" spans="1:23" x14ac:dyDescent="0.25">
      <c r="A90" s="6" t="s">
        <v>105</v>
      </c>
      <c r="B90" s="6"/>
      <c r="C90" s="6"/>
      <c r="D90" s="6"/>
      <c r="E90" s="7"/>
      <c r="F90" s="6"/>
      <c r="G90" s="6"/>
      <c r="H90" s="6"/>
      <c r="I90" s="6"/>
      <c r="J90" s="6"/>
      <c r="K90" s="6"/>
      <c r="L90" s="6"/>
      <c r="M90" s="6"/>
      <c r="N90" s="6"/>
      <c r="O90" s="6"/>
      <c r="P90" s="6"/>
      <c r="Q90" s="6"/>
      <c r="R90" s="6"/>
      <c r="S90" s="6"/>
      <c r="T90" s="7"/>
      <c r="U90" s="18"/>
      <c r="V90" s="6"/>
      <c r="W90" s="18"/>
    </row>
    <row r="91" spans="1:23" x14ac:dyDescent="0.25">
      <c r="A91" s="2" t="s">
        <v>106</v>
      </c>
      <c r="B91" s="2"/>
      <c r="C91" s="2"/>
      <c r="D91" s="2"/>
      <c r="E91" s="3"/>
      <c r="F91" s="2"/>
      <c r="G91" s="2"/>
      <c r="H91" s="2"/>
      <c r="I91" s="2"/>
      <c r="J91" s="2"/>
      <c r="K91" s="2"/>
      <c r="L91" s="2"/>
      <c r="M91" s="2"/>
      <c r="N91" s="2"/>
      <c r="O91" s="2"/>
      <c r="P91" s="2"/>
      <c r="Q91" s="2"/>
      <c r="R91" s="2"/>
      <c r="S91" s="2"/>
      <c r="T91" s="3"/>
      <c r="U91" s="19"/>
      <c r="V91" s="2"/>
      <c r="W91" s="19"/>
    </row>
    <row r="92" spans="1:23" x14ac:dyDescent="0.25">
      <c r="A92" s="6" t="s">
        <v>107</v>
      </c>
      <c r="B92" s="6"/>
      <c r="C92" s="6"/>
      <c r="D92" s="6"/>
      <c r="E92" s="7"/>
      <c r="F92" s="6"/>
      <c r="G92" s="6"/>
      <c r="H92" s="6"/>
      <c r="I92" s="6"/>
      <c r="J92" s="6"/>
      <c r="K92" s="6"/>
      <c r="L92" s="6"/>
      <c r="M92" s="6"/>
      <c r="N92" s="6"/>
      <c r="O92" s="6"/>
      <c r="P92" s="6"/>
      <c r="Q92" s="6"/>
      <c r="R92" s="6"/>
      <c r="S92" s="6"/>
      <c r="T92" s="7"/>
      <c r="U92" s="18"/>
      <c r="V92" s="6"/>
      <c r="W92" s="18"/>
    </row>
    <row r="93" spans="1:23" x14ac:dyDescent="0.25">
      <c r="A93" s="2" t="s">
        <v>108</v>
      </c>
      <c r="B93" s="2"/>
      <c r="C93" s="2"/>
      <c r="D93" s="2"/>
      <c r="E93" s="3"/>
      <c r="F93" s="2"/>
      <c r="G93" s="2"/>
      <c r="H93" s="2"/>
      <c r="I93" s="2"/>
      <c r="J93" s="2"/>
      <c r="K93" s="2"/>
      <c r="L93" s="2"/>
      <c r="M93" s="2"/>
      <c r="N93" s="2"/>
      <c r="O93" s="2"/>
      <c r="P93" s="2"/>
      <c r="Q93" s="2"/>
      <c r="R93" s="2"/>
      <c r="S93" s="2"/>
      <c r="T93" s="3"/>
      <c r="U93" s="19"/>
      <c r="V93" s="2"/>
      <c r="W93" s="19"/>
    </row>
    <row r="94" spans="1:23" x14ac:dyDescent="0.25">
      <c r="A94" s="6" t="s">
        <v>109</v>
      </c>
      <c r="B94" s="6"/>
      <c r="C94" s="6"/>
      <c r="D94" s="6"/>
      <c r="E94" s="7"/>
      <c r="F94" s="6"/>
      <c r="G94" s="6"/>
      <c r="H94" s="6"/>
      <c r="I94" s="6"/>
      <c r="J94" s="6"/>
      <c r="K94" s="6"/>
      <c r="L94" s="6"/>
      <c r="M94" s="6"/>
      <c r="N94" s="6"/>
      <c r="O94" s="6"/>
      <c r="P94" s="6"/>
      <c r="Q94" s="6"/>
      <c r="R94" s="6"/>
      <c r="S94" s="6"/>
      <c r="T94" s="7"/>
      <c r="U94" s="18"/>
      <c r="V94" s="6"/>
      <c r="W94" s="18"/>
    </row>
    <row r="95" spans="1:23" x14ac:dyDescent="0.25">
      <c r="A95" s="2" t="s">
        <v>110</v>
      </c>
      <c r="B95" s="2"/>
      <c r="C95" s="2"/>
      <c r="D95" s="2"/>
      <c r="E95" s="3"/>
      <c r="F95" s="2"/>
      <c r="G95" s="2"/>
      <c r="H95" s="2"/>
      <c r="I95" s="2"/>
      <c r="J95" s="2"/>
      <c r="K95" s="2"/>
      <c r="L95" s="2"/>
      <c r="M95" s="2"/>
      <c r="N95" s="2"/>
      <c r="O95" s="2"/>
      <c r="P95" s="2"/>
      <c r="Q95" s="2"/>
      <c r="R95" s="2"/>
      <c r="S95" s="2"/>
      <c r="T95" s="3"/>
      <c r="U95" s="19"/>
      <c r="V95" s="2"/>
      <c r="W95" s="19"/>
    </row>
    <row r="96" spans="1:23" x14ac:dyDescent="0.25">
      <c r="A96" s="6" t="s">
        <v>111</v>
      </c>
      <c r="B96" s="6"/>
      <c r="C96" s="6"/>
      <c r="D96" s="6"/>
      <c r="E96" s="7"/>
      <c r="F96" s="6"/>
      <c r="G96" s="6"/>
      <c r="H96" s="6"/>
      <c r="I96" s="6"/>
      <c r="J96" s="6"/>
      <c r="K96" s="6"/>
      <c r="L96" s="6"/>
      <c r="M96" s="6"/>
      <c r="N96" s="6"/>
      <c r="O96" s="6"/>
      <c r="P96" s="6"/>
      <c r="Q96" s="6"/>
      <c r="R96" s="6"/>
      <c r="S96" s="6"/>
      <c r="T96" s="7"/>
      <c r="U96" s="18"/>
      <c r="V96" s="6"/>
      <c r="W96" s="18"/>
    </row>
    <row r="97" spans="1:23" x14ac:dyDescent="0.25">
      <c r="A97" s="2" t="s">
        <v>112</v>
      </c>
      <c r="B97" s="2"/>
      <c r="C97" s="2"/>
      <c r="D97" s="2"/>
      <c r="E97" s="3"/>
      <c r="F97" s="2"/>
      <c r="G97" s="2"/>
      <c r="H97" s="2"/>
      <c r="I97" s="2"/>
      <c r="J97" s="2"/>
      <c r="K97" s="2"/>
      <c r="L97" s="2"/>
      <c r="M97" s="2"/>
      <c r="N97" s="2"/>
      <c r="O97" s="2"/>
      <c r="P97" s="2"/>
      <c r="Q97" s="2"/>
      <c r="R97" s="2"/>
      <c r="S97" s="2"/>
      <c r="T97" s="3"/>
      <c r="U97" s="19"/>
      <c r="V97" s="2"/>
      <c r="W97" s="19"/>
    </row>
    <row r="98" spans="1:23" x14ac:dyDescent="0.25">
      <c r="A98" s="6" t="s">
        <v>113</v>
      </c>
      <c r="B98" s="6"/>
      <c r="C98" s="6"/>
      <c r="D98" s="6"/>
      <c r="E98" s="7"/>
      <c r="F98" s="6"/>
      <c r="G98" s="6"/>
      <c r="H98" s="6"/>
      <c r="I98" s="6"/>
      <c r="J98" s="6"/>
      <c r="K98" s="6"/>
      <c r="L98" s="6"/>
      <c r="M98" s="6"/>
      <c r="N98" s="6"/>
      <c r="O98" s="6"/>
      <c r="P98" s="6"/>
      <c r="Q98" s="6"/>
      <c r="R98" s="6"/>
      <c r="S98" s="6"/>
      <c r="T98" s="7"/>
      <c r="U98" s="18"/>
      <c r="V98" s="6"/>
      <c r="W98" s="18"/>
    </row>
    <row r="99" spans="1:23" x14ac:dyDescent="0.25">
      <c r="A99" s="2" t="s">
        <v>120</v>
      </c>
      <c r="B99" s="2"/>
      <c r="C99" s="2"/>
      <c r="D99" s="2"/>
      <c r="E99" s="3"/>
      <c r="F99" s="2"/>
      <c r="G99" s="2"/>
      <c r="H99" s="2"/>
      <c r="I99" s="2"/>
      <c r="J99" s="2"/>
      <c r="K99" s="2"/>
      <c r="L99" s="2"/>
      <c r="M99" s="2"/>
      <c r="N99" s="2"/>
      <c r="O99" s="2"/>
      <c r="P99" s="2"/>
      <c r="Q99" s="2"/>
      <c r="R99" s="2"/>
      <c r="S99" s="2"/>
      <c r="T99" s="3"/>
      <c r="U99" s="19"/>
      <c r="V99" s="2"/>
      <c r="W99" s="19"/>
    </row>
    <row r="100" spans="1:23" x14ac:dyDescent="0.25">
      <c r="A100" s="6" t="s">
        <v>121</v>
      </c>
      <c r="B100" s="6"/>
      <c r="C100" s="6"/>
      <c r="D100" s="6"/>
      <c r="E100" s="7"/>
      <c r="F100" s="6"/>
      <c r="G100" s="6"/>
      <c r="H100" s="6"/>
      <c r="I100" s="6"/>
      <c r="J100" s="6"/>
      <c r="K100" s="6"/>
      <c r="L100" s="6"/>
      <c r="M100" s="6"/>
      <c r="N100" s="6"/>
      <c r="O100" s="6"/>
      <c r="P100" s="6"/>
      <c r="Q100" s="6"/>
      <c r="R100" s="6"/>
      <c r="S100" s="6"/>
      <c r="T100" s="7"/>
      <c r="U100" s="18"/>
      <c r="V100" s="6"/>
      <c r="W100" s="18"/>
    </row>
    <row r="101" spans="1:23" x14ac:dyDescent="0.25">
      <c r="A101" s="2" t="s">
        <v>122</v>
      </c>
      <c r="B101" s="2"/>
      <c r="C101" s="2"/>
      <c r="D101" s="2"/>
      <c r="E101" s="3"/>
      <c r="F101" s="2"/>
      <c r="G101" s="2"/>
      <c r="H101" s="2"/>
      <c r="I101" s="2"/>
      <c r="J101" s="2"/>
      <c r="K101" s="2"/>
      <c r="L101" s="2"/>
      <c r="M101" s="2"/>
      <c r="N101" s="2"/>
      <c r="O101" s="2"/>
      <c r="P101" s="2"/>
      <c r="Q101" s="2"/>
      <c r="R101" s="2"/>
      <c r="S101" s="2"/>
      <c r="T101" s="3"/>
      <c r="U101" s="19"/>
      <c r="V101" s="2"/>
      <c r="W101" s="19"/>
    </row>
    <row r="102" spans="1:23" x14ac:dyDescent="0.25">
      <c r="A102" s="6" t="s">
        <v>123</v>
      </c>
      <c r="B102" s="6"/>
      <c r="C102" s="6"/>
      <c r="D102" s="6"/>
      <c r="E102" s="7"/>
      <c r="F102" s="6"/>
      <c r="G102" s="6"/>
      <c r="H102" s="6"/>
      <c r="I102" s="6"/>
      <c r="J102" s="6"/>
      <c r="K102" s="6"/>
      <c r="L102" s="6"/>
      <c r="M102" s="6"/>
      <c r="N102" s="6"/>
      <c r="O102" s="6"/>
      <c r="P102" s="6"/>
      <c r="Q102" s="6"/>
      <c r="R102" s="6"/>
      <c r="S102" s="6"/>
      <c r="T102" s="7"/>
      <c r="U102" s="18"/>
      <c r="V102" s="6"/>
      <c r="W102" s="18"/>
    </row>
  </sheetData>
  <sortState xmlns:xlrd2="http://schemas.microsoft.com/office/spreadsheetml/2017/richdata2" ref="A3:W19">
    <sortCondition descending="1" ref="K3:K19"/>
  </sortState>
  <mergeCells count="18">
    <mergeCell ref="A1:A2"/>
    <mergeCell ref="B1:B2"/>
    <mergeCell ref="E1:E2"/>
    <mergeCell ref="T1:U1"/>
    <mergeCell ref="N1:N2"/>
    <mergeCell ref="O1:O2"/>
    <mergeCell ref="P1:P2"/>
    <mergeCell ref="M1:M2"/>
    <mergeCell ref="Q1:Q2"/>
    <mergeCell ref="S1:S2"/>
    <mergeCell ref="L1:L2"/>
    <mergeCell ref="D1:D2"/>
    <mergeCell ref="V1:V2"/>
    <mergeCell ref="W1:W2"/>
    <mergeCell ref="C1:C2"/>
    <mergeCell ref="R1:R2"/>
    <mergeCell ref="F1:H1"/>
    <mergeCell ref="I1:K1"/>
  </mergeCells>
  <phoneticPr fontId="5" type="noConversion"/>
  <conditionalFormatting sqref="L3:L1048576">
    <cfRule type="expression" dxfId="3" priority="1">
      <formula>$K3&lt;=5</formula>
    </cfRule>
    <cfRule type="expression" dxfId="2" priority="2">
      <formula>AND($K3&gt;=6,$K3&lt;=10)</formula>
    </cfRule>
    <cfRule type="expression" dxfId="1" priority="3">
      <formula>AND($K3&gt;=11,$K3&lt;=15)</formula>
    </cfRule>
    <cfRule type="expression" dxfId="0" priority="4">
      <formula>$K3&gt;=16</formula>
    </cfRule>
  </conditionalFormatting>
  <pageMargins left="0.25" right="0.25" top="0.75" bottom="0.75" header="0.3" footer="0.3"/>
  <pageSetup paperSize="6" scale="16" orientation="landscape"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5B08B786-E7FA-41A7-B640-0A3C959D76B8}">
          <x14:formula1>
            <xm:f>'Data Control Sheet'!$A$2:$A$10</xm:f>
          </x14:formula1>
          <xm:sqref>C3:C1048576</xm:sqref>
        </x14:dataValidation>
        <x14:dataValidation type="list" allowBlank="1" showInputMessage="1" showErrorMessage="1" xr:uid="{D912F75D-B861-4AC2-890C-F0A2C2B4D21A}">
          <x14:formula1>
            <xm:f>'Data Control Sheet'!$B$2:$B$7</xm:f>
          </x14:formula1>
          <xm:sqref>D3:D1048576</xm:sqref>
        </x14:dataValidation>
        <x14:dataValidation type="list" allowBlank="1" showInputMessage="1" showErrorMessage="1" xr:uid="{8AEEF168-3547-410F-87F1-A676E2948D34}">
          <x14:formula1>
            <xm:f>'Data Control Sheet'!$C$2:$C$7</xm:f>
          </x14:formula1>
          <xm:sqref>I3:I1048576 F3:F1048576</xm:sqref>
        </x14:dataValidation>
        <x14:dataValidation type="list" allowBlank="1" showInputMessage="1" showErrorMessage="1" xr:uid="{4DF64F87-8226-4514-B3FB-54752EA9DE25}">
          <x14:formula1>
            <xm:f>'Data Control Sheet'!$D$2:$D$7</xm:f>
          </x14:formula1>
          <xm:sqref>G3:G1048576 J3:J1048576</xm:sqref>
        </x14:dataValidation>
        <x14:dataValidation type="list" allowBlank="1" showInputMessage="1" showErrorMessage="1" xr:uid="{BA8ABFB5-2FF3-4FDC-985F-0F63815CA6CB}">
          <x14:formula1>
            <xm:f>'Data Control Sheet'!$E$2:$E$6</xm:f>
          </x14:formula1>
          <xm:sqref>R3:R1048576</xm:sqref>
        </x14:dataValidation>
        <x14:dataValidation type="list" allowBlank="1" showInputMessage="1" showErrorMessage="1" xr:uid="{FD09B2C9-D367-448D-A869-BBC1AAFBB84F}">
          <x14:formula1>
            <xm:f>'Data Control Sheet'!$F$2:$F$7</xm:f>
          </x14:formula1>
          <xm:sqref>V3:V1048576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B493D-4B21-4FF3-B890-371CED22064B}">
  <dimension ref="A1:F9"/>
  <sheetViews>
    <sheetView workbookViewId="0">
      <selection sqref="A1:F9"/>
    </sheetView>
  </sheetViews>
  <sheetFormatPr defaultRowHeight="15" x14ac:dyDescent="0.25"/>
  <cols>
    <col min="1" max="1" width="13.28515625" style="1" bestFit="1" customWidth="1"/>
    <col min="2" max="2" width="23.85546875" style="1" bestFit="1" customWidth="1"/>
    <col min="3" max="3" width="16.140625" style="1" bestFit="1" customWidth="1"/>
    <col min="4" max="4" width="16.140625" style="1" customWidth="1"/>
    <col min="5" max="5" width="12.85546875" style="1" bestFit="1" customWidth="1"/>
    <col min="6" max="6" width="10.85546875" style="1" bestFit="1" customWidth="1"/>
    <col min="7" max="16384" width="9.140625" style="1"/>
  </cols>
  <sheetData>
    <row r="1" spans="1:6" s="15" customFormat="1" x14ac:dyDescent="0.25">
      <c r="A1" s="15" t="s">
        <v>155</v>
      </c>
      <c r="B1" s="15" t="s">
        <v>13</v>
      </c>
      <c r="C1" s="15" t="s">
        <v>164</v>
      </c>
      <c r="D1" s="15" t="s">
        <v>165</v>
      </c>
      <c r="E1" s="15" t="s">
        <v>119</v>
      </c>
      <c r="F1" s="15" t="s">
        <v>116</v>
      </c>
    </row>
    <row r="2" spans="1:6" x14ac:dyDescent="0.25">
      <c r="A2" t="s">
        <v>136</v>
      </c>
      <c r="B2" t="s">
        <v>139</v>
      </c>
      <c r="C2" s="16">
        <v>1</v>
      </c>
      <c r="D2">
        <v>1</v>
      </c>
      <c r="E2" t="s">
        <v>153</v>
      </c>
      <c r="F2" t="s">
        <v>154</v>
      </c>
    </row>
    <row r="3" spans="1:6" x14ac:dyDescent="0.25">
      <c r="A3" t="s">
        <v>138</v>
      </c>
      <c r="B3" t="s">
        <v>161</v>
      </c>
      <c r="C3" s="16">
        <v>2</v>
      </c>
      <c r="D3">
        <v>2</v>
      </c>
      <c r="E3" t="s">
        <v>166</v>
      </c>
      <c r="F3" t="s">
        <v>169</v>
      </c>
    </row>
    <row r="4" spans="1:6" x14ac:dyDescent="0.25">
      <c r="A4" t="s">
        <v>137</v>
      </c>
      <c r="B4" t="s">
        <v>162</v>
      </c>
      <c r="C4" s="16">
        <v>3</v>
      </c>
      <c r="D4">
        <v>3</v>
      </c>
      <c r="E4" t="s">
        <v>167</v>
      </c>
      <c r="F4" t="s">
        <v>170</v>
      </c>
    </row>
    <row r="5" spans="1:6" x14ac:dyDescent="0.25">
      <c r="A5" t="s">
        <v>156</v>
      </c>
      <c r="B5" t="s">
        <v>163</v>
      </c>
      <c r="C5" s="16">
        <v>4</v>
      </c>
      <c r="D5">
        <v>4</v>
      </c>
      <c r="E5" t="s">
        <v>168</v>
      </c>
      <c r="F5" t="s">
        <v>171</v>
      </c>
    </row>
    <row r="6" spans="1:6" x14ac:dyDescent="0.25">
      <c r="A6" t="s">
        <v>157</v>
      </c>
      <c r="B6" t="s">
        <v>140</v>
      </c>
      <c r="C6" s="16">
        <v>5</v>
      </c>
      <c r="D6">
        <v>5</v>
      </c>
      <c r="E6"/>
      <c r="F6" t="s">
        <v>172</v>
      </c>
    </row>
    <row r="7" spans="1:6" x14ac:dyDescent="0.25">
      <c r="A7" t="s">
        <v>158</v>
      </c>
    </row>
    <row r="8" spans="1:6" x14ac:dyDescent="0.25">
      <c r="A8" t="s">
        <v>159</v>
      </c>
    </row>
    <row r="9" spans="1:6" x14ac:dyDescent="0.25">
      <c r="A9" t="s">
        <v>160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Operational Risk Register</vt:lpstr>
      <vt:lpstr>Data Control Sheet</vt:lpstr>
      <vt:lpstr>'Operational Risk Register'!Print_Area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Barry Salmon</dc:creator>
  <cp:lastModifiedBy>Barry Salmon</cp:lastModifiedBy>
  <cp:lastPrinted>2026-03-08T21:18:51Z</cp:lastPrinted>
  <dcterms:created xsi:type="dcterms:W3CDTF">2026-02-21T18:45:41Z</dcterms:created>
  <dcterms:modified xsi:type="dcterms:W3CDTF">2026-05-05T17:13:00Z</dcterms:modified>
</cp:coreProperties>
</file>